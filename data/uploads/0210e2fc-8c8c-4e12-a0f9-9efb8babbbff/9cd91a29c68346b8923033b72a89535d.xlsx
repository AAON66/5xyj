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880" activeTab="1"/>
  </bookViews>
  <sheets>
    <sheet name="付款通知书" sheetId="5" r:id="rId1"/>
    <sheet name="付款明细" sheetId="6" r:id="rId2"/>
  </sheets>
  <definedNames>
    <definedName name="_xlnm._FilterDatabase" localSheetId="1" hidden="1">付款明细!$A$1:$DF$13</definedName>
    <definedName name="rngAction">#REF!</definedName>
    <definedName name="rngBlockFactor">#REF!</definedName>
    <definedName name="rngCIName">#REF!</definedName>
    <definedName name="rngCINameHidden">#REF!</definedName>
    <definedName name="rngDataInputCIName">#REF!</definedName>
    <definedName name="rngErrorThreshold">#REF!</definedName>
    <definedName name="rngFileNameHidden">#REF!</definedName>
    <definedName name="rngHTTPPort">#REF!</definedName>
    <definedName name="rngLanguageCD">#REF!</definedName>
    <definedName name="rngMachineName">#REF!</definedName>
    <definedName name="rngNode">#REF!</definedName>
    <definedName name="rngPasswordHidden">#REF!</definedName>
    <definedName name="rngPortal">#REF!</definedName>
    <definedName name="rngProtocol">#REF!</definedName>
    <definedName name="rngPSSiteName">#REF!</definedName>
    <definedName name="rngResHeaders">#REF!</definedName>
    <definedName name="rngURL">#REF!</definedName>
    <definedName name="rngUserIDHidden">#REF!</definedName>
    <definedName name="rngXmlConst">#REF!</definedName>
    <definedName name="txtBoxTitleConnectInfo">"txtBoxTitle"</definedName>
    <definedName name="txtBoxTitleCreateTemplate">"txtBoxTitle"</definedName>
    <definedName name="txtBoxTitleInputData">"txtBoxTitle"</definedName>
    <definedName name="txtBoxTitleStageSubmitData">"txtBoxTitle"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<sst xmlns="http://schemas.openxmlformats.org/spreadsheetml/2006/main" count="225" uniqueCount="150">
  <si>
    <t>付款通知书</t>
  </si>
  <si>
    <t>付款单位:</t>
  </si>
  <si>
    <t>零一创造欢乐（深圳）科技有限公司</t>
  </si>
  <si>
    <t>账单月</t>
  </si>
  <si>
    <t>缴纳地</t>
  </si>
  <si>
    <t>社保小计</t>
  </si>
  <si>
    <t>公积金小计</t>
  </si>
  <si>
    <t>残障金小计</t>
  </si>
  <si>
    <t>其他</t>
  </si>
  <si>
    <t>服务费</t>
  </si>
  <si>
    <t>全额税费</t>
  </si>
  <si>
    <t>合计</t>
  </si>
  <si>
    <t>备注</t>
  </si>
  <si>
    <t>合作产品</t>
  </si>
  <si>
    <t>上海</t>
  </si>
  <si>
    <t>人事外包</t>
  </si>
  <si>
    <t>广东广州</t>
  </si>
  <si>
    <t>历史结余</t>
  </si>
  <si>
    <t>汇入公司名称：深圳市万泉河人力资源有限公司</t>
  </si>
  <si>
    <t>开户行：中国银行深圳金地支行</t>
  </si>
  <si>
    <t>帐    号：745857952481</t>
  </si>
  <si>
    <t>社保顾问：薛小妹</t>
  </si>
  <si>
    <t>联系电话：0755-33037777-885</t>
  </si>
  <si>
    <r>
      <rPr>
        <sz val="11"/>
        <rFont val="微软雅黑"/>
        <charset val="134"/>
      </rPr>
      <t>特别说明： 
        1、请以</t>
    </r>
    <r>
      <rPr>
        <sz val="11"/>
        <color rgb="FFFF0000"/>
        <rFont val="微软雅黑"/>
        <charset val="134"/>
      </rPr>
      <t>零一创造欢乐（深圳）科技有限公司</t>
    </r>
    <r>
      <rPr>
        <sz val="11"/>
        <rFont val="微软雅黑"/>
        <charset val="134"/>
      </rPr>
      <t xml:space="preserve">公账付款至我司，我司不接受其他公司代支付，亦不接受个人账户打款。
        2、请在首次款项支付当月向我司顾问提供准确的开票信息，逾期不予开具发票；次月起，发票类型、发票税号、发票寄送信息等相关开票信息如有变更，请在当月款项支付前告知我司顾问。
</t>
    </r>
    <r>
      <rPr>
        <sz val="11"/>
        <color theme="1"/>
        <rFont val="微软雅黑"/>
        <charset val="134"/>
      </rPr>
      <t xml:space="preserve">        3、开票抬头为：</t>
    </r>
    <r>
      <rPr>
        <sz val="11"/>
        <color rgb="FFFF0000"/>
        <rFont val="微软雅黑"/>
        <charset val="134"/>
      </rPr>
      <t>零一创造欢乐（深圳）科技有限公司</t>
    </r>
    <r>
      <rPr>
        <sz val="11"/>
        <color theme="1"/>
        <rFont val="微软雅黑"/>
        <charset val="134"/>
      </rPr>
      <t>，如有疑义请在汇款前联系我司顾问，款项支付后开票抬头无法变更。</t>
    </r>
  </si>
  <si>
    <t>序号</t>
  </si>
  <si>
    <t>状态</t>
  </si>
  <si>
    <t>客户名称</t>
  </si>
  <si>
    <t>姓名</t>
  </si>
  <si>
    <t>身份证号</t>
  </si>
  <si>
    <t>参保地</t>
  </si>
  <si>
    <t>户籍性质</t>
  </si>
  <si>
    <t>社保起做时间</t>
  </si>
  <si>
    <t>公积金起做时间</t>
  </si>
  <si>
    <t>帐单年月</t>
  </si>
  <si>
    <t>社保费用所属月（缴纳月）</t>
  </si>
  <si>
    <t>公积金费用所属月（缴纳月）</t>
  </si>
  <si>
    <t>养老企业基数</t>
  </si>
  <si>
    <t>养老企业比例</t>
  </si>
  <si>
    <t>养老企业汇缴</t>
  </si>
  <si>
    <t>养老个人基数</t>
  </si>
  <si>
    <t>养老个人比例</t>
  </si>
  <si>
    <t>养老个人汇缴</t>
  </si>
  <si>
    <t>养老合计</t>
  </si>
  <si>
    <t>医疗企业基数</t>
  </si>
  <si>
    <t>医疗企业比例</t>
  </si>
  <si>
    <t>医疗企业大病</t>
  </si>
  <si>
    <t>医疗企业汇缴</t>
  </si>
  <si>
    <t>医疗个人基数</t>
  </si>
  <si>
    <t>医疗个人比例</t>
  </si>
  <si>
    <t>医疗个人大病</t>
  </si>
  <si>
    <t>医疗个人汇缴</t>
  </si>
  <si>
    <t>医疗合计</t>
  </si>
  <si>
    <t>失业企业基数</t>
  </si>
  <si>
    <t>失业企业比例</t>
  </si>
  <si>
    <t>失业单位汇缴</t>
  </si>
  <si>
    <t>失业个人基数</t>
  </si>
  <si>
    <t>失业个人比例</t>
  </si>
  <si>
    <t>失业个人汇缴</t>
  </si>
  <si>
    <t>失业合计</t>
  </si>
  <si>
    <t>生育企业基数</t>
  </si>
  <si>
    <t>生育企业比例</t>
  </si>
  <si>
    <t>生育企业汇缴</t>
  </si>
  <si>
    <t>工伤企业基数</t>
  </si>
  <si>
    <t>工伤企业比例</t>
  </si>
  <si>
    <t>工伤企业汇缴</t>
  </si>
  <si>
    <t>单位社保</t>
  </si>
  <si>
    <t>个人社保</t>
  </si>
  <si>
    <t>社保合计</t>
  </si>
  <si>
    <t>公积金企业基数</t>
  </si>
  <si>
    <t>公积金企业比例</t>
  </si>
  <si>
    <t>公积金企业汇缴</t>
  </si>
  <si>
    <t>公积金个人基数</t>
  </si>
  <si>
    <t>公积金个人比例</t>
  </si>
  <si>
    <t>公积金个人汇缴</t>
  </si>
  <si>
    <t>公积金合计</t>
  </si>
  <si>
    <t>社保公积金小计</t>
  </si>
  <si>
    <t>残保金企业缴纳</t>
  </si>
  <si>
    <t>滞纳金</t>
  </si>
  <si>
    <t>档案费</t>
  </si>
  <si>
    <t>制卡费</t>
  </si>
  <si>
    <t>工会费</t>
  </si>
  <si>
    <t>采暖费</t>
  </si>
  <si>
    <t>其它费用</t>
  </si>
  <si>
    <t>小计（不含服务费）</t>
  </si>
  <si>
    <t>社保</t>
  </si>
  <si>
    <t>社保差额</t>
  </si>
  <si>
    <t>公积金</t>
  </si>
  <si>
    <t>公积金差额</t>
  </si>
  <si>
    <t>社保编号</t>
  </si>
  <si>
    <t>公积金编号</t>
  </si>
  <si>
    <t>医保个账</t>
  </si>
  <si>
    <t>住院基本医疗</t>
  </si>
  <si>
    <t>住院补充医疗</t>
  </si>
  <si>
    <t>门诊基本医疗</t>
  </si>
  <si>
    <t>医保个账单位金额</t>
  </si>
  <si>
    <t>医保个账个人金额</t>
  </si>
  <si>
    <t>住院基本医疗单位金额</t>
  </si>
  <si>
    <t>住院补充医疗单位金额</t>
  </si>
  <si>
    <t>门诊医疗单位金额</t>
  </si>
  <si>
    <t>门诊医疗个人金额</t>
  </si>
  <si>
    <t>补充公积金
基数</t>
  </si>
  <si>
    <t>补充公积金
单位比例</t>
  </si>
  <si>
    <t>补充公积金
个人比例</t>
  </si>
  <si>
    <t>补充公积
金单位金额</t>
  </si>
  <si>
    <t>补充公积金
个人金额</t>
  </si>
  <si>
    <t>正常</t>
  </si>
  <si>
    <t>张若涵</t>
  </si>
  <si>
    <t>622824199501080188</t>
  </si>
  <si>
    <t>外地城镇</t>
  </si>
  <si>
    <t>朱安莉</t>
  </si>
  <si>
    <t>450924199705013421</t>
  </si>
  <si>
    <t>本地城镇</t>
  </si>
  <si>
    <t>黄神辉</t>
  </si>
  <si>
    <t>331081200108162119</t>
  </si>
  <si>
    <t>宗迪华</t>
  </si>
  <si>
    <t>310102199101191216</t>
  </si>
  <si>
    <t>周安洁</t>
  </si>
  <si>
    <t>34262319990821194X</t>
  </si>
  <si>
    <t>外地农村</t>
  </si>
  <si>
    <t>尹璐</t>
  </si>
  <si>
    <t>340503199210170020</t>
  </si>
  <si>
    <t>刘慧勤</t>
  </si>
  <si>
    <t>310115198907172222</t>
  </si>
  <si>
    <t>陈玲</t>
  </si>
  <si>
    <t>330722199605200827</t>
  </si>
  <si>
    <t>鲁冰慧</t>
  </si>
  <si>
    <t>412728199908053166</t>
  </si>
  <si>
    <t>李雪琪</t>
  </si>
  <si>
    <t>622725200210312627</t>
  </si>
  <si>
    <t>黄源畅</t>
  </si>
  <si>
    <t>460108200303112623</t>
  </si>
  <si>
    <t>翟萃颖</t>
  </si>
  <si>
    <t>410727200203262627</t>
  </si>
  <si>
    <t>新增</t>
  </si>
  <si>
    <t>罗义璇</t>
  </si>
  <si>
    <t>511023199312180028</t>
  </si>
  <si>
    <t>补收</t>
  </si>
  <si>
    <t>补收2月账单的全额税费</t>
  </si>
  <si>
    <t>补收1月账单的全额税费</t>
  </si>
  <si>
    <t>增员</t>
  </si>
  <si>
    <t>公司全称</t>
  </si>
  <si>
    <t>身份证号码</t>
  </si>
  <si>
    <t>社保起缴时间</t>
  </si>
  <si>
    <t>公积金起缴时间</t>
  </si>
  <si>
    <t>减员</t>
  </si>
  <si>
    <t>社保停缴时间</t>
  </si>
  <si>
    <t>公积金停缴时间</t>
  </si>
  <si>
    <t>离职原因</t>
  </si>
  <si>
    <t>韦旭峰</t>
  </si>
  <si>
    <t>310113199007222118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</si>
</sst>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7804]yyyy/m/d;@"/>
    <numFmt numFmtId="177" formatCode="0_);[Red]\(0\)"/>
    <numFmt numFmtId="178" formatCode="0.00_ "/>
    <numFmt numFmtId="179" formatCode="0.000%"/>
    <numFmt numFmtId="180" formatCode="0.00_);[Red]\(0.00\)"/>
  </numFmts>
  <fonts count="40">
    <font>
      <sz val="11"/>
      <color theme="1"/>
      <name val="等线"/>
      <charset val="134"/>
      <scheme val="minor"/>
    </font>
    <font>
      <sz val="12"/>
      <name val="宋体"/>
      <charset val="134"/>
    </font>
    <font>
      <sz val="12"/>
      <color rgb="FFFF0000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0"/>
      <color theme="1"/>
      <name val="宋体"/>
      <charset val="134"/>
    </font>
    <font>
      <sz val="10"/>
      <color rgb="FFFF0000"/>
      <name val="宋体"/>
      <charset val="134"/>
    </font>
    <font>
      <sz val="9"/>
      <name val="宋体"/>
      <charset val="134"/>
    </font>
    <font>
      <sz val="9.75"/>
      <color rgb="FF000000"/>
      <name val="等线"/>
      <charset val="134"/>
      <scheme val="minor"/>
    </font>
    <font>
      <sz val="12"/>
      <name val="微软雅黑"/>
      <charset val="134"/>
    </font>
    <font>
      <b/>
      <sz val="20"/>
      <name val="微软雅黑"/>
      <charset val="134"/>
    </font>
    <font>
      <b/>
      <sz val="12"/>
      <name val="微软雅黑"/>
      <charset val="134"/>
    </font>
    <font>
      <b/>
      <sz val="11"/>
      <name val="微软雅黑"/>
      <charset val="134"/>
    </font>
    <font>
      <sz val="11"/>
      <color indexed="8"/>
      <name val="微软雅黑"/>
      <charset val="134"/>
    </font>
    <font>
      <b/>
      <sz val="11"/>
      <color indexed="8"/>
      <name val="微软雅黑"/>
      <charset val="134"/>
    </font>
    <font>
      <sz val="11"/>
      <name val="微软雅黑"/>
      <charset val="134"/>
    </font>
    <font>
      <sz val="11"/>
      <color indexed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</font>
    <font>
      <sz val="10"/>
      <name val="Arial"/>
      <charset val="134"/>
    </font>
    <font>
      <sz val="11"/>
      <color rgb="FFFF0000"/>
      <name val="微软雅黑"/>
      <charset val="134"/>
    </font>
    <font>
      <sz val="11"/>
      <color theme="1"/>
      <name val="微软雅黑"/>
      <charset val="134"/>
    </font>
  </fonts>
  <fills count="44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theme="4" tint="-0.249977111117893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/>
      </patternFill>
    </fill>
    <fill>
      <patternFill patternType="solid">
        <fgColor theme="3" tint="0.39991454817346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8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0"/>
      </left>
      <right/>
      <top style="medium">
        <color indexed="0"/>
      </top>
      <bottom style="thin">
        <color indexed="0"/>
      </bottom>
      <diagonal/>
    </border>
    <border>
      <left/>
      <right/>
      <top style="medium">
        <color indexed="0"/>
      </top>
      <bottom style="thin">
        <color indexed="0"/>
      </bottom>
      <diagonal/>
    </border>
    <border>
      <left/>
      <right style="medium">
        <color indexed="0"/>
      </right>
      <top style="medium">
        <color indexed="0"/>
      </top>
      <bottom style="thin">
        <color indexed="0"/>
      </bottom>
      <diagonal/>
    </border>
    <border>
      <left style="medium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medium">
        <color indexed="0"/>
      </right>
      <top style="thin">
        <color indexed="0"/>
      </top>
      <bottom style="thin">
        <color indexed="0"/>
      </bottom>
      <diagonal/>
    </border>
    <border>
      <left style="medium">
        <color indexed="0"/>
      </left>
      <right/>
      <top style="thin">
        <color indexed="0"/>
      </top>
      <bottom style="medium">
        <color indexed="0"/>
      </bottom>
      <diagonal/>
    </border>
    <border>
      <left/>
      <right/>
      <top style="thin">
        <color indexed="0"/>
      </top>
      <bottom style="medium">
        <color indexed="0"/>
      </bottom>
      <diagonal/>
    </border>
    <border>
      <left/>
      <right style="medium">
        <color indexed="0"/>
      </right>
      <top style="thin">
        <color indexed="0"/>
      </top>
      <bottom style="medium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5" borderId="2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4" fillId="0" borderId="2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6" borderId="25" applyNumberFormat="0" applyAlignment="0" applyProtection="0">
      <alignment vertical="center"/>
    </xf>
    <xf numFmtId="0" fontId="26" fillId="17" borderId="26" applyNumberFormat="0" applyAlignment="0" applyProtection="0">
      <alignment vertical="center"/>
    </xf>
    <xf numFmtId="0" fontId="27" fillId="17" borderId="25" applyNumberFormat="0" applyAlignment="0" applyProtection="0">
      <alignment vertical="center"/>
    </xf>
    <xf numFmtId="0" fontId="28" fillId="18" borderId="27" applyNumberFormat="0" applyAlignment="0" applyProtection="0">
      <alignment vertical="center"/>
    </xf>
    <xf numFmtId="0" fontId="29" fillId="0" borderId="28" applyNumberFormat="0" applyFill="0" applyAlignment="0" applyProtection="0">
      <alignment vertical="center"/>
    </xf>
    <xf numFmtId="0" fontId="30" fillId="0" borderId="29" applyNumberFormat="0" applyFill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6" fontId="36" fillId="0" borderId="0"/>
    <xf numFmtId="176" fontId="0" fillId="0" borderId="0"/>
    <xf numFmtId="176" fontId="0" fillId="0" borderId="0"/>
    <xf numFmtId="0" fontId="1" fillId="0" borderId="0">
      <alignment horizontal="justify" vertical="justify" textRotation="127" wrapText="1"/>
      <protection hidden="1"/>
    </xf>
    <xf numFmtId="0" fontId="1" fillId="0" borderId="0">
      <alignment horizontal="justify" vertical="justify" textRotation="127" wrapText="1"/>
      <protection hidden="1"/>
    </xf>
    <xf numFmtId="176" fontId="1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</cellStyleXfs>
  <cellXfs count="106">
    <xf numFmtId="0" fontId="0" fillId="0" borderId="0" xfId="0"/>
    <xf numFmtId="0" fontId="1" fillId="0" borderId="0" xfId="53" applyAlignment="1" applyProtection="1">
      <alignment vertical="center"/>
    </xf>
    <xf numFmtId="0" fontId="1" fillId="0" borderId="0" xfId="53" applyFont="1" applyAlignment="1" applyProtection="1">
      <alignment vertical="center"/>
    </xf>
    <xf numFmtId="0" fontId="2" fillId="0" borderId="0" xfId="53" applyFont="1" applyAlignment="1" applyProtection="1">
      <alignment vertical="center"/>
    </xf>
    <xf numFmtId="0" fontId="3" fillId="0" borderId="1" xfId="53" applyFont="1" applyBorder="1" applyAlignment="1" applyProtection="1">
      <alignment horizontal="center" vertical="center" wrapText="1"/>
    </xf>
    <xf numFmtId="0" fontId="3" fillId="2" borderId="1" xfId="53" applyFont="1" applyFill="1" applyBorder="1" applyAlignment="1" applyProtection="1">
      <alignment horizontal="center" vertical="center" wrapText="1"/>
    </xf>
    <xf numFmtId="0" fontId="3" fillId="3" borderId="1" xfId="53" applyFont="1" applyFill="1" applyBorder="1" applyAlignment="1" applyProtection="1">
      <alignment horizontal="center" vertical="center" wrapText="1"/>
    </xf>
    <xf numFmtId="0" fontId="3" fillId="4" borderId="1" xfId="53" applyFont="1" applyFill="1" applyBorder="1" applyAlignment="1" applyProtection="1">
      <alignment horizontal="center" vertical="center" wrapText="1"/>
    </xf>
    <xf numFmtId="49" fontId="3" fillId="2" borderId="2" xfId="53" applyNumberFormat="1" applyFont="1" applyFill="1" applyBorder="1" applyAlignment="1" applyProtection="1">
      <alignment horizontal="center" vertical="center" wrapText="1"/>
    </xf>
    <xf numFmtId="0" fontId="3" fillId="2" borderId="2" xfId="53" applyFont="1" applyFill="1" applyBorder="1" applyAlignment="1" applyProtection="1">
      <alignment horizontal="center" vertical="center" wrapText="1"/>
    </xf>
    <xf numFmtId="0" fontId="3" fillId="5" borderId="1" xfId="53" applyFont="1" applyFill="1" applyBorder="1" applyAlignment="1" applyProtection="1">
      <alignment horizontal="center" vertical="center" wrapText="1"/>
    </xf>
    <xf numFmtId="0" fontId="3" fillId="6" borderId="2" xfId="53" applyFont="1" applyFill="1" applyBorder="1" applyAlignment="1" applyProtection="1">
      <alignment horizontal="center" vertical="center" wrapText="1"/>
    </xf>
    <xf numFmtId="0" fontId="3" fillId="6" borderId="1" xfId="53" applyFont="1" applyFill="1" applyBorder="1" applyAlignment="1" applyProtection="1">
      <alignment horizontal="center" vertical="center" wrapText="1"/>
    </xf>
    <xf numFmtId="0" fontId="3" fillId="7" borderId="1" xfId="53" applyFont="1" applyFill="1" applyBorder="1" applyAlignment="1" applyProtection="1">
      <alignment horizontal="center" vertical="center" wrapText="1"/>
    </xf>
    <xf numFmtId="0" fontId="3" fillId="8" borderId="1" xfId="53" applyFont="1" applyFill="1" applyBorder="1" applyAlignment="1" applyProtection="1">
      <alignment horizontal="center" vertical="center" wrapText="1"/>
    </xf>
    <xf numFmtId="0" fontId="4" fillId="0" borderId="1" xfId="53" applyFont="1" applyBorder="1" applyAlignment="1" applyProtection="1">
      <alignment horizontal="center" vertical="center"/>
    </xf>
    <xf numFmtId="177" fontId="4" fillId="0" borderId="1" xfId="53" applyNumberFormat="1" applyFont="1" applyBorder="1" applyAlignment="1" applyProtection="1">
      <alignment horizontal="center" vertical="center"/>
    </xf>
    <xf numFmtId="10" fontId="4" fillId="9" borderId="1" xfId="53" applyNumberFormat="1" applyFont="1" applyFill="1" applyBorder="1" applyAlignment="1" applyProtection="1">
      <alignment horizontal="center" vertical="center" shrinkToFit="1"/>
    </xf>
    <xf numFmtId="49" fontId="4" fillId="9" borderId="1" xfId="53" applyNumberFormat="1" applyFont="1" applyFill="1" applyBorder="1" applyAlignment="1" applyProtection="1">
      <alignment horizontal="center" vertical="center"/>
    </xf>
    <xf numFmtId="0" fontId="4" fillId="9" borderId="1" xfId="53" applyFont="1" applyFill="1" applyBorder="1" applyAlignment="1" applyProtection="1">
      <alignment horizontal="center" vertical="center"/>
    </xf>
    <xf numFmtId="178" fontId="4" fillId="9" borderId="1" xfId="53" applyNumberFormat="1" applyFont="1" applyFill="1" applyBorder="1" applyAlignment="1" applyProtection="1">
      <alignment horizontal="center" vertical="center"/>
    </xf>
    <xf numFmtId="10" fontId="4" fillId="9" borderId="1" xfId="49" applyNumberFormat="1" applyFont="1" applyFill="1" applyBorder="1" applyAlignment="1">
      <alignment horizontal="center" vertical="center" shrinkToFit="1"/>
    </xf>
    <xf numFmtId="178" fontId="4" fillId="10" borderId="1" xfId="53" applyNumberFormat="1" applyFont="1" applyFill="1" applyBorder="1" applyAlignment="1" applyProtection="1">
      <alignment horizontal="center" vertical="center"/>
    </xf>
    <xf numFmtId="178" fontId="4" fillId="9" borderId="1" xfId="49" applyNumberFormat="1" applyFont="1" applyFill="1" applyBorder="1" applyAlignment="1">
      <alignment horizontal="center" vertical="center" shrinkToFit="1"/>
    </xf>
    <xf numFmtId="178" fontId="4" fillId="4" borderId="1" xfId="53" applyNumberFormat="1" applyFont="1" applyFill="1" applyBorder="1" applyAlignment="1" applyProtection="1">
      <alignment horizontal="center" vertical="center"/>
    </xf>
    <xf numFmtId="10" fontId="4" fillId="9" borderId="1" xfId="53" applyNumberFormat="1" applyFont="1" applyFill="1" applyBorder="1" applyAlignment="1" applyProtection="1">
      <alignment horizontal="center" vertical="center"/>
    </xf>
    <xf numFmtId="178" fontId="4" fillId="11" borderId="1" xfId="53" applyNumberFormat="1" applyFont="1" applyFill="1" applyBorder="1" applyAlignment="1" applyProtection="1">
      <alignment horizontal="center" vertical="center"/>
    </xf>
    <xf numFmtId="10" fontId="4" fillId="9" borderId="1" xfId="49" applyNumberFormat="1" applyFont="1" applyFill="1" applyBorder="1" applyAlignment="1" applyProtection="1">
      <alignment horizontal="center" vertical="center"/>
    </xf>
    <xf numFmtId="178" fontId="5" fillId="0" borderId="1" xfId="53" applyNumberFormat="1" applyFont="1" applyBorder="1" applyAlignment="1" applyProtection="1">
      <alignment horizontal="center" vertical="center"/>
    </xf>
    <xf numFmtId="178" fontId="5" fillId="4" borderId="1" xfId="53" applyNumberFormat="1" applyFont="1" applyFill="1" applyBorder="1" applyAlignment="1" applyProtection="1">
      <alignment horizontal="center" vertical="center"/>
    </xf>
    <xf numFmtId="0" fontId="4" fillId="9" borderId="3" xfId="53" applyFont="1" applyFill="1" applyBorder="1" applyAlignment="1" applyProtection="1">
      <alignment horizontal="center" vertical="center" shrinkToFit="1"/>
    </xf>
    <xf numFmtId="0" fontId="5" fillId="9" borderId="3" xfId="53" applyFont="1" applyFill="1" applyBorder="1" applyAlignment="1" applyProtection="1">
      <alignment horizontal="center" vertical="center" shrinkToFit="1"/>
    </xf>
    <xf numFmtId="178" fontId="5" fillId="9" borderId="3" xfId="53" applyNumberFormat="1" applyFont="1" applyFill="1" applyBorder="1" applyAlignment="1" applyProtection="1">
      <alignment horizontal="center" vertical="center" shrinkToFit="1"/>
    </xf>
    <xf numFmtId="0" fontId="4" fillId="0" borderId="1" xfId="53" applyFont="1" applyBorder="1" applyAlignment="1" applyProtection="1">
      <alignment horizontal="center" vertical="center" shrinkToFit="1"/>
    </xf>
    <xf numFmtId="49" fontId="4" fillId="0" borderId="1" xfId="53" applyNumberFormat="1" applyFont="1" applyBorder="1" applyAlignment="1" applyProtection="1">
      <alignment horizontal="center" vertical="center" shrinkToFit="1"/>
    </xf>
    <xf numFmtId="9" fontId="4" fillId="0" borderId="1" xfId="53" applyNumberFormat="1" applyFont="1" applyBorder="1" applyAlignment="1" applyProtection="1">
      <alignment horizontal="center" vertical="center" shrinkToFit="1"/>
    </xf>
    <xf numFmtId="179" fontId="4" fillId="9" borderId="1" xfId="53" applyNumberFormat="1" applyFont="1" applyFill="1" applyBorder="1" applyAlignment="1" applyProtection="1">
      <alignment horizontal="center" vertical="center"/>
    </xf>
    <xf numFmtId="180" fontId="4" fillId="9" borderId="1" xfId="53" applyNumberFormat="1" applyFont="1" applyFill="1" applyBorder="1" applyAlignment="1" applyProtection="1">
      <alignment horizontal="center" vertical="center"/>
    </xf>
    <xf numFmtId="178" fontId="4" fillId="0" borderId="1" xfId="53" applyNumberFormat="1" applyFont="1" applyBorder="1" applyAlignment="1" applyProtection="1">
      <alignment horizontal="center" vertical="center"/>
    </xf>
    <xf numFmtId="0" fontId="5" fillId="9" borderId="1" xfId="53" applyFont="1" applyFill="1" applyBorder="1" applyAlignment="1" applyProtection="1">
      <alignment horizontal="center" vertical="center" shrinkToFit="1"/>
    </xf>
    <xf numFmtId="0" fontId="6" fillId="0" borderId="1" xfId="53" applyFont="1" applyBorder="1" applyAlignment="1" applyProtection="1">
      <alignment horizontal="center" vertical="center"/>
    </xf>
    <xf numFmtId="177" fontId="6" fillId="0" borderId="1" xfId="53" applyNumberFormat="1" applyFont="1" applyBorder="1" applyAlignment="1" applyProtection="1">
      <alignment horizontal="center" vertical="center"/>
    </xf>
    <xf numFmtId="10" fontId="6" fillId="9" borderId="1" xfId="53" applyNumberFormat="1" applyFont="1" applyFill="1" applyBorder="1" applyAlignment="1" applyProtection="1">
      <alignment horizontal="center" vertical="center" shrinkToFit="1"/>
    </xf>
    <xf numFmtId="49" fontId="6" fillId="9" borderId="1" xfId="53" applyNumberFormat="1" applyFont="1" applyFill="1" applyBorder="1" applyAlignment="1" applyProtection="1">
      <alignment horizontal="center" vertical="center"/>
    </xf>
    <xf numFmtId="0" fontId="6" fillId="9" borderId="1" xfId="53" applyFont="1" applyFill="1" applyBorder="1" applyAlignment="1" applyProtection="1">
      <alignment horizontal="center" vertical="center"/>
    </xf>
    <xf numFmtId="178" fontId="6" fillId="9" borderId="1" xfId="53" applyNumberFormat="1" applyFont="1" applyFill="1" applyBorder="1" applyAlignment="1" applyProtection="1">
      <alignment horizontal="center" vertical="center"/>
    </xf>
    <xf numFmtId="10" fontId="6" fillId="9" borderId="1" xfId="49" applyNumberFormat="1" applyFont="1" applyFill="1" applyBorder="1" applyAlignment="1">
      <alignment horizontal="center" vertical="center" shrinkToFit="1"/>
    </xf>
    <xf numFmtId="178" fontId="6" fillId="10" borderId="1" xfId="53" applyNumberFormat="1" applyFont="1" applyFill="1" applyBorder="1" applyAlignment="1" applyProtection="1">
      <alignment horizontal="center" vertical="center"/>
    </xf>
    <xf numFmtId="178" fontId="6" fillId="9" borderId="1" xfId="49" applyNumberFormat="1" applyFont="1" applyFill="1" applyBorder="1" applyAlignment="1">
      <alignment horizontal="center" vertical="center" shrinkToFit="1"/>
    </xf>
    <xf numFmtId="178" fontId="6" fillId="4" borderId="1" xfId="53" applyNumberFormat="1" applyFont="1" applyFill="1" applyBorder="1" applyAlignment="1" applyProtection="1">
      <alignment horizontal="center" vertical="center"/>
    </xf>
    <xf numFmtId="10" fontId="6" fillId="9" borderId="1" xfId="53" applyNumberFormat="1" applyFont="1" applyFill="1" applyBorder="1" applyAlignment="1" applyProtection="1">
      <alignment horizontal="center" vertical="center"/>
    </xf>
    <xf numFmtId="178" fontId="6" fillId="11" borderId="1" xfId="53" applyNumberFormat="1" applyFont="1" applyFill="1" applyBorder="1" applyAlignment="1" applyProtection="1">
      <alignment horizontal="center" vertical="center"/>
    </xf>
    <xf numFmtId="180" fontId="6" fillId="9" borderId="1" xfId="53" applyNumberFormat="1" applyFont="1" applyFill="1" applyBorder="1" applyAlignment="1" applyProtection="1">
      <alignment horizontal="center" vertical="center"/>
    </xf>
    <xf numFmtId="10" fontId="6" fillId="9" borderId="1" xfId="49" applyNumberFormat="1" applyFont="1" applyFill="1" applyBorder="1" applyAlignment="1" applyProtection="1">
      <alignment horizontal="center" vertical="center"/>
    </xf>
    <xf numFmtId="178" fontId="6" fillId="0" borderId="1" xfId="53" applyNumberFormat="1" applyFont="1" applyBorder="1" applyAlignment="1" applyProtection="1">
      <alignment horizontal="center" vertical="center"/>
    </xf>
    <xf numFmtId="0" fontId="6" fillId="9" borderId="3" xfId="53" applyFont="1" applyFill="1" applyBorder="1" applyAlignment="1" applyProtection="1">
      <alignment horizontal="center" vertical="center" shrinkToFit="1"/>
    </xf>
    <xf numFmtId="178" fontId="6" fillId="9" borderId="3" xfId="53" applyNumberFormat="1" applyFont="1" applyFill="1" applyBorder="1" applyAlignment="1" applyProtection="1">
      <alignment horizontal="center" vertical="center" shrinkToFit="1"/>
    </xf>
    <xf numFmtId="0" fontId="6" fillId="0" borderId="1" xfId="53" applyFont="1" applyBorder="1" applyAlignment="1" applyProtection="1">
      <alignment horizontal="center" vertical="center" shrinkToFit="1"/>
    </xf>
    <xf numFmtId="49" fontId="6" fillId="0" borderId="1" xfId="53" applyNumberFormat="1" applyFont="1" applyBorder="1" applyAlignment="1" applyProtection="1">
      <alignment horizontal="center" vertical="center" shrinkToFit="1"/>
    </xf>
    <xf numFmtId="9" fontId="6" fillId="0" borderId="1" xfId="53" applyNumberFormat="1" applyFont="1" applyBorder="1" applyAlignment="1" applyProtection="1">
      <alignment horizontal="center" vertical="center" shrinkToFit="1"/>
    </xf>
    <xf numFmtId="49" fontId="3" fillId="12" borderId="1" xfId="53" applyNumberFormat="1" applyFont="1" applyFill="1" applyBorder="1" applyAlignment="1" applyProtection="1">
      <alignment horizontal="center" vertical="center"/>
    </xf>
    <xf numFmtId="178" fontId="3" fillId="13" borderId="1" xfId="53" applyNumberFormat="1" applyFont="1" applyFill="1" applyBorder="1" applyAlignment="1" applyProtection="1">
      <alignment horizontal="center" vertical="center"/>
    </xf>
    <xf numFmtId="49" fontId="3" fillId="0" borderId="0" xfId="53" applyNumberFormat="1" applyFont="1" applyAlignment="1" applyProtection="1">
      <alignment horizontal="center" vertical="center"/>
    </xf>
    <xf numFmtId="180" fontId="3" fillId="0" borderId="0" xfId="53" applyNumberFormat="1" applyFont="1" applyAlignment="1" applyProtection="1">
      <alignment horizontal="center" vertical="center"/>
    </xf>
    <xf numFmtId="178" fontId="3" fillId="0" borderId="0" xfId="53" applyNumberFormat="1" applyFont="1" applyAlignment="1" applyProtection="1">
      <alignment horizontal="center" vertical="center"/>
    </xf>
    <xf numFmtId="49" fontId="6" fillId="0" borderId="0" xfId="53" applyNumberFormat="1" applyFont="1" applyAlignment="1" applyProtection="1">
      <alignment horizontal="left" vertical="center" wrapText="1"/>
    </xf>
    <xf numFmtId="10" fontId="4" fillId="0" borderId="1" xfId="53" applyNumberFormat="1" applyFont="1" applyBorder="1" applyAlignment="1" applyProtection="1">
      <alignment horizontal="center" vertical="center"/>
    </xf>
    <xf numFmtId="49" fontId="4" fillId="0" borderId="1" xfId="53" applyNumberFormat="1" applyFont="1" applyBorder="1" applyAlignment="1" applyProtection="1">
      <alignment horizontal="center" vertical="center"/>
    </xf>
    <xf numFmtId="10" fontId="6" fillId="0" borderId="1" xfId="53" applyNumberFormat="1" applyFont="1" applyBorder="1" applyAlignment="1" applyProtection="1">
      <alignment horizontal="center" vertical="center"/>
    </xf>
    <xf numFmtId="178" fontId="1" fillId="0" borderId="0" xfId="53" applyNumberFormat="1" applyAlignment="1" applyProtection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56" applyFont="1" applyFill="1" applyBorder="1" applyAlignment="1">
      <alignment horizontal="center" vertical="center"/>
    </xf>
    <xf numFmtId="0" fontId="11" fillId="0" borderId="0" xfId="56" applyFont="1" applyFill="1" applyAlignment="1">
      <alignment vertical="center"/>
    </xf>
    <xf numFmtId="0" fontId="11" fillId="0" borderId="0" xfId="56" applyFont="1" applyFill="1" applyBorder="1" applyAlignment="1">
      <alignment horizontal="left" vertical="center"/>
    </xf>
    <xf numFmtId="180" fontId="12" fillId="0" borderId="5" xfId="56" applyNumberFormat="1" applyFont="1" applyFill="1" applyBorder="1" applyAlignment="1">
      <alignment horizontal="center" vertical="center" wrapText="1"/>
    </xf>
    <xf numFmtId="0" fontId="12" fillId="0" borderId="6" xfId="56" applyFont="1" applyFill="1" applyBorder="1" applyAlignment="1">
      <alignment horizontal="center" vertical="center" wrapText="1"/>
    </xf>
    <xf numFmtId="180" fontId="12" fillId="0" borderId="6" xfId="56" applyNumberFormat="1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3" fillId="0" borderId="8" xfId="56" applyNumberFormat="1" applyFont="1" applyFill="1" applyBorder="1" applyAlignment="1">
      <alignment horizontal="center" vertical="center"/>
    </xf>
    <xf numFmtId="0" fontId="13" fillId="0" borderId="1" xfId="56" applyFont="1" applyFill="1" applyBorder="1" applyAlignment="1">
      <alignment horizontal="center" vertical="center"/>
    </xf>
    <xf numFmtId="178" fontId="13" fillId="14" borderId="1" xfId="57" applyNumberFormat="1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/>
    </xf>
    <xf numFmtId="0" fontId="13" fillId="14" borderId="9" xfId="0" applyFont="1" applyFill="1" applyBorder="1" applyAlignment="1">
      <alignment horizontal="center" vertical="center"/>
    </xf>
    <xf numFmtId="57" fontId="14" fillId="2" borderId="8" xfId="56" applyNumberFormat="1" applyFont="1" applyFill="1" applyBorder="1" applyAlignment="1">
      <alignment horizontal="center" vertical="center"/>
    </xf>
    <xf numFmtId="178" fontId="13" fillId="2" borderId="1" xfId="57" applyNumberFormat="1" applyFont="1" applyFill="1" applyBorder="1" applyAlignment="1">
      <alignment horizontal="center" vertical="center" wrapText="1"/>
    </xf>
    <xf numFmtId="0" fontId="15" fillId="0" borderId="10" xfId="56" applyFont="1" applyFill="1" applyBorder="1" applyAlignment="1">
      <alignment horizontal="center" vertical="center"/>
    </xf>
    <xf numFmtId="0" fontId="15" fillId="0" borderId="11" xfId="56" applyFont="1" applyFill="1" applyBorder="1" applyAlignment="1">
      <alignment horizontal="center" vertical="center"/>
    </xf>
    <xf numFmtId="180" fontId="12" fillId="0" borderId="11" xfId="56" applyNumberFormat="1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6" fillId="0" borderId="0" xfId="56" applyFont="1" applyFill="1" applyAlignment="1">
      <alignment horizontal="center" vertical="center"/>
    </xf>
    <xf numFmtId="0" fontId="15" fillId="0" borderId="13" xfId="56" applyFont="1" applyFill="1" applyBorder="1" applyAlignment="1">
      <alignment horizontal="left" vertical="center" wrapText="1"/>
    </xf>
    <xf numFmtId="0" fontId="15" fillId="0" borderId="14" xfId="56" applyFont="1" applyFill="1" applyBorder="1" applyAlignment="1">
      <alignment horizontal="left" vertical="center" wrapText="1"/>
    </xf>
    <xf numFmtId="0" fontId="15" fillId="0" borderId="15" xfId="56" applyFont="1" applyFill="1" applyBorder="1" applyAlignment="1">
      <alignment horizontal="left" vertical="center" wrapText="1"/>
    </xf>
    <xf numFmtId="180" fontId="15" fillId="0" borderId="16" xfId="56" applyNumberFormat="1" applyFont="1" applyFill="1" applyBorder="1" applyAlignment="1">
      <alignment horizontal="left" vertical="center" wrapText="1"/>
    </xf>
    <xf numFmtId="180" fontId="15" fillId="0" borderId="17" xfId="56" applyNumberFormat="1" applyFont="1" applyFill="1" applyBorder="1" applyAlignment="1">
      <alignment horizontal="left" vertical="center" wrapText="1"/>
    </xf>
    <xf numFmtId="180" fontId="15" fillId="0" borderId="18" xfId="56" applyNumberFormat="1" applyFont="1" applyFill="1" applyBorder="1" applyAlignment="1">
      <alignment horizontal="left" vertical="center" wrapText="1"/>
    </xf>
    <xf numFmtId="0" fontId="15" fillId="0" borderId="16" xfId="56" applyFont="1" applyFill="1" applyBorder="1" applyAlignment="1">
      <alignment horizontal="left" vertical="center"/>
    </xf>
    <xf numFmtId="0" fontId="15" fillId="0" borderId="17" xfId="56" applyFont="1" applyFill="1" applyBorder="1" applyAlignment="1">
      <alignment horizontal="left" vertical="center"/>
    </xf>
    <xf numFmtId="0" fontId="15" fillId="0" borderId="18" xfId="56" applyFont="1" applyFill="1" applyBorder="1" applyAlignment="1">
      <alignment horizontal="left" vertical="center"/>
    </xf>
    <xf numFmtId="0" fontId="15" fillId="4" borderId="19" xfId="56" applyFont="1" applyFill="1" applyBorder="1" applyAlignment="1">
      <alignment horizontal="left" vertical="top" wrapText="1"/>
    </xf>
    <xf numFmtId="0" fontId="15" fillId="4" borderId="20" xfId="56" applyFont="1" applyFill="1" applyBorder="1" applyAlignment="1">
      <alignment horizontal="left" vertical="top"/>
    </xf>
    <xf numFmtId="0" fontId="15" fillId="4" borderId="21" xfId="56" applyFont="1" applyFill="1" applyBorder="1" applyAlignment="1">
      <alignment horizontal="left" vertical="top"/>
    </xf>
    <xf numFmtId="0" fontId="12" fillId="0" borderId="6" xfId="56" applyFont="1" applyFill="1" applyBorder="1" applyAlignment="1" quotePrefix="1">
      <alignment horizontal="center" vertical="center" wrapText="1"/>
    </xf>
    <xf numFmtId="49" fontId="4" fillId="9" borderId="1" xfId="53" applyNumberFormat="1" applyFont="1" applyFill="1" applyBorder="1" applyAlignment="1" applyProtection="1" quotePrefix="1">
      <alignment horizontal="center" vertical="center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常规 103 3 2" xfId="50"/>
    <cellStyle name="常规 103 3 2 2 2" xfId="51"/>
    <cellStyle name="常规 103 3 2 2 2 2" xfId="52"/>
    <cellStyle name="常规 2" xfId="53"/>
    <cellStyle name="常规 2 2" xfId="54"/>
    <cellStyle name="常规 2 21 2 2" xfId="55"/>
    <cellStyle name="常规_to易才全钰" xfId="56"/>
    <cellStyle name="样式 1" xfId="57"/>
  </cellStyles>
  <tableStyles count="0" defaultTableStyle="TableStyleMedium2" defaultPivotStyle="PivotStyleLight16"/>
  <colors>
    <mruColors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K15"/>
  <sheetViews>
    <sheetView workbookViewId="0">
      <selection activeCell="J15" sqref="J15"/>
    </sheetView>
  </sheetViews>
  <sheetFormatPr defaultColWidth="10.875" defaultRowHeight="14"/>
  <cols>
    <col min="2" max="2" width="15.75" customWidth="1"/>
    <col min="9" max="9" width="11.5"/>
    <col min="10" max="10" width="16.75" customWidth="1"/>
  </cols>
  <sheetData>
    <row r="1" ht="16.5" spans="1:11">
      <c r="A1" s="72"/>
      <c r="B1" s="72"/>
      <c r="C1" s="72"/>
      <c r="D1" s="72"/>
      <c r="E1" s="72"/>
      <c r="F1" s="72"/>
      <c r="G1" s="72"/>
      <c r="H1" s="72"/>
      <c r="I1" s="72"/>
      <c r="J1" s="72"/>
      <c r="K1" s="72"/>
    </row>
    <row r="2" ht="27.5" spans="1:11">
      <c r="A2" s="73" t="s">
        <v>0</v>
      </c>
      <c r="B2" s="73"/>
      <c r="C2" s="73"/>
      <c r="D2" s="73"/>
      <c r="E2" s="73"/>
      <c r="F2" s="73"/>
      <c r="G2" s="73"/>
      <c r="H2" s="73"/>
      <c r="I2" s="73"/>
      <c r="J2" s="72"/>
      <c r="K2" s="72"/>
    </row>
    <row r="3" ht="17.25" spans="1:11">
      <c r="A3" s="74" t="s">
        <v>1</v>
      </c>
      <c r="B3" s="75" t="s">
        <v>2</v>
      </c>
      <c r="C3" s="75"/>
      <c r="D3" s="75"/>
      <c r="E3" s="75"/>
      <c r="F3" s="75"/>
      <c r="G3" s="75"/>
      <c r="H3" s="75"/>
      <c r="I3" s="75"/>
      <c r="J3" s="75"/>
      <c r="K3" s="75"/>
    </row>
    <row r="4" ht="20.25" customHeight="1" spans="1:11">
      <c r="A4" s="76" t="s">
        <v>3</v>
      </c>
      <c r="B4" s="106" t="s">
        <v>4</v>
      </c>
      <c r="C4" s="78" t="s">
        <v>5</v>
      </c>
      <c r="D4" s="106" t="s">
        <v>6</v>
      </c>
      <c r="E4" s="77" t="s">
        <v>7</v>
      </c>
      <c r="F4" s="106" t="s">
        <v>8</v>
      </c>
      <c r="G4" s="106" t="s">
        <v>9</v>
      </c>
      <c r="H4" s="77" t="s">
        <v>10</v>
      </c>
      <c r="I4" s="106" t="s">
        <v>11</v>
      </c>
      <c r="J4" s="79" t="s">
        <v>12</v>
      </c>
      <c r="K4" s="80" t="s">
        <v>13</v>
      </c>
    </row>
    <row r="5" ht="20.25" customHeight="1" spans="1:11">
      <c r="A5" s="81">
        <v>202603</v>
      </c>
      <c r="B5" s="82" t="s">
        <v>14</v>
      </c>
      <c r="C5" s="83">
        <f>SUMIF(付款明细!F:F,B5,付款明细!AR:AR)</f>
        <v>40399.2</v>
      </c>
      <c r="D5" s="83">
        <f>SUMIF(付款明细!F:F,B5,付款明细!AY:AY)</f>
        <v>15540</v>
      </c>
      <c r="E5" s="83">
        <f>SUMIF(付款明细!F:F,B5,付款明细!BA:BA)</f>
        <v>1502.3</v>
      </c>
      <c r="F5" s="83">
        <f>SUMIF(付款明细!F:F,B5,付款明细!BB:BB)</f>
        <v>0</v>
      </c>
      <c r="G5" s="83">
        <f>SUMIF(付款明细!F:F,B5,付款明细!BI:BI)</f>
        <v>360</v>
      </c>
      <c r="H5" s="83">
        <f>SUMIF(付款明细!F:F,B5,付款明细!BJ:BJ)</f>
        <v>15867.18336</v>
      </c>
      <c r="I5" s="83">
        <f>SUM(C5:H5)</f>
        <v>73668.68336</v>
      </c>
      <c r="J5" s="84">
        <v>12</v>
      </c>
      <c r="K5" s="85" t="s">
        <v>15</v>
      </c>
    </row>
    <row r="6" ht="20.25" customHeight="1" spans="1:11">
      <c r="A6" s="81">
        <v>202603</v>
      </c>
      <c r="B6" s="82" t="s">
        <v>16</v>
      </c>
      <c r="C6" s="83">
        <f>SUMIF(付款明细!F:F,B6,付款明细!AR:AR)</f>
        <v>1923.11</v>
      </c>
      <c r="D6" s="83">
        <f>SUMIF(付款明细!F:F,B6,付款明细!AY:AY)</f>
        <v>6000</v>
      </c>
      <c r="E6" s="83">
        <f>SUMIF(付款明细!F:F,B6,付款明细!BA:BA)</f>
        <v>30.59</v>
      </c>
      <c r="F6" s="83">
        <f>SUMIF(付款明细!F:F,B6,付款明细!BB:BB)</f>
        <v>0</v>
      </c>
      <c r="G6" s="83">
        <f>SUMIF(付款明细!F:F,B6,付款明细!BI:BI)</f>
        <v>30</v>
      </c>
      <c r="H6" s="83">
        <f>SUMIF(付款明细!F:F,B6,付款明细!BJ:BJ)</f>
        <v>536.50464</v>
      </c>
      <c r="I6" s="83">
        <f>SUM(C6:H6)</f>
        <v>8520.20464</v>
      </c>
      <c r="J6" s="84">
        <v>1</v>
      </c>
      <c r="K6" s="85"/>
    </row>
    <row r="7" ht="20.25" customHeight="1" spans="1:11">
      <c r="A7" s="86" t="s">
        <v>17</v>
      </c>
      <c r="B7" s="87"/>
      <c r="C7" s="87"/>
      <c r="D7" s="87"/>
      <c r="E7" s="87"/>
      <c r="F7" s="87"/>
      <c r="G7" s="87"/>
      <c r="H7" s="87"/>
      <c r="I7" s="87"/>
      <c r="J7" s="84"/>
      <c r="K7" s="85"/>
    </row>
    <row r="8" ht="20.25" customHeight="1" spans="1:11">
      <c r="A8" s="88" t="s">
        <v>11</v>
      </c>
      <c r="B8" s="89"/>
      <c r="C8" s="90">
        <f t="shared" ref="C8:I8" si="0">ROUND(SUM(C5:C7),2)</f>
        <v>42322.31</v>
      </c>
      <c r="D8" s="90">
        <f t="shared" si="0"/>
        <v>21540</v>
      </c>
      <c r="E8" s="90">
        <f t="shared" si="0"/>
        <v>1532.89</v>
      </c>
      <c r="F8" s="90">
        <f t="shared" si="0"/>
        <v>0</v>
      </c>
      <c r="G8" s="90">
        <f t="shared" si="0"/>
        <v>390</v>
      </c>
      <c r="H8" s="90">
        <f t="shared" si="0"/>
        <v>16403.69</v>
      </c>
      <c r="I8" s="90">
        <f t="shared" si="0"/>
        <v>82188.89</v>
      </c>
      <c r="J8" s="91">
        <f>SUM(J5:J7)</f>
        <v>13</v>
      </c>
      <c r="K8" s="92"/>
    </row>
    <row r="9" ht="17.25" spans="1:11">
      <c r="A9" s="93"/>
      <c r="B9" s="93"/>
      <c r="C9" s="93"/>
      <c r="D9" s="93"/>
      <c r="E9" s="93"/>
      <c r="F9" s="93"/>
      <c r="G9" s="93"/>
      <c r="H9" s="93"/>
      <c r="I9" s="93"/>
      <c r="J9" s="93"/>
      <c r="K9" s="93"/>
    </row>
    <row r="10" ht="16.5" spans="1:11">
      <c r="A10" s="94" t="s">
        <v>18</v>
      </c>
      <c r="B10" s="95"/>
      <c r="C10" s="95"/>
      <c r="D10" s="95"/>
      <c r="E10" s="95"/>
      <c r="F10" s="96"/>
    </row>
    <row r="11" ht="16.5" spans="1:11">
      <c r="A11" s="97" t="s">
        <v>19</v>
      </c>
      <c r="B11" s="98"/>
      <c r="C11" s="98"/>
      <c r="D11" s="98"/>
      <c r="E11" s="98"/>
      <c r="F11" s="99"/>
    </row>
    <row r="12" ht="16.5" spans="1:11">
      <c r="A12" s="97" t="s">
        <v>20</v>
      </c>
      <c r="B12" s="98"/>
      <c r="C12" s="98"/>
      <c r="D12" s="98"/>
      <c r="E12" s="98"/>
      <c r="F12" s="99"/>
    </row>
    <row r="13" ht="16.5" spans="1:11">
      <c r="A13" s="100" t="s">
        <v>21</v>
      </c>
      <c r="B13" s="101"/>
      <c r="C13" s="101"/>
      <c r="D13" s="101"/>
      <c r="E13" s="101"/>
      <c r="F13" s="102"/>
    </row>
    <row r="14" ht="16.5" spans="1:11">
      <c r="A14" s="100" t="s">
        <v>22</v>
      </c>
      <c r="B14" s="101"/>
      <c r="C14" s="101"/>
      <c r="D14" s="101"/>
      <c r="E14" s="101"/>
      <c r="F14" s="102"/>
    </row>
    <row r="15" ht="140.25" customHeight="1" spans="1:11">
      <c r="A15" s="103" t="s">
        <v>23</v>
      </c>
      <c r="B15" s="104"/>
      <c r="C15" s="104"/>
      <c r="D15" s="104"/>
      <c r="E15" s="104"/>
      <c r="F15" s="105"/>
    </row>
  </sheetData>
  <mergeCells count="8">
    <mergeCell ref="A2:I2"/>
    <mergeCell ref="B3:K3"/>
    <mergeCell ref="A10:F10"/>
    <mergeCell ref="A11:F11"/>
    <mergeCell ref="A12:F12"/>
    <mergeCell ref="A13:F13"/>
    <mergeCell ref="A14:F14"/>
    <mergeCell ref="A15:F1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theme="0"/>
  </sheetPr>
  <dimension ref="A1:CG41"/>
  <sheetViews>
    <sheetView tabSelected="1" workbookViewId="0">
      <pane ySplit="1" topLeftCell="A11" activePane="bottomLeft" state="frozen"/>
      <selection/>
      <selection pane="bottomLeft" activeCell="A15" sqref="$A15:$XFD16"/>
    </sheetView>
  </sheetViews>
  <sheetFormatPr defaultColWidth="8.75" defaultRowHeight="20.1" customHeight="1"/>
  <cols>
    <col min="1" max="1" width="4.5" style="1" customWidth="1"/>
    <col min="2" max="2" width="5" style="1" customWidth="1"/>
    <col min="3" max="3" width="27.625" style="1" customWidth="1"/>
    <col min="4" max="4" width="17.75" style="1" customWidth="1"/>
    <col min="5" max="5" width="17.375" style="1" customWidth="1"/>
    <col min="6" max="6" width="9.625" style="1" customWidth="1"/>
    <col min="7" max="7" width="8.5" style="1" customWidth="1"/>
    <col min="8" max="8" width="9.5" style="1" customWidth="1"/>
    <col min="9" max="9" width="10.625" style="1" customWidth="1"/>
    <col min="10" max="10" width="8.25" style="1" customWidth="1"/>
    <col min="11" max="11" width="12.375" style="1" customWidth="1"/>
    <col min="12" max="12" width="13" style="1" customWidth="1"/>
    <col min="13" max="13" width="12.25" style="1" customWidth="1"/>
    <col min="14" max="14" width="10.25" style="1" customWidth="1"/>
    <col min="15" max="16" width="12.25" style="1" customWidth="1"/>
    <col min="17" max="18" width="10.25" style="1" customWidth="1"/>
    <col min="19" max="19" width="11.25" style="1" customWidth="1"/>
    <col min="20" max="20" width="12.25" style="1" customWidth="1"/>
    <col min="21" max="27" width="10.25" style="1" customWidth="1"/>
    <col min="28" max="28" width="9.5" style="1" customWidth="1"/>
    <col min="29" max="34" width="10.25" style="1" customWidth="1"/>
    <col min="35" max="35" width="8.5" style="1" customWidth="1"/>
    <col min="36" max="40" width="10.25" style="1" customWidth="1"/>
    <col min="41" max="41" width="12.25" style="1" customWidth="1"/>
    <col min="42" max="42" width="11.375" style="1" customWidth="1"/>
    <col min="43" max="43" width="9.5" style="1" customWidth="1"/>
    <col min="44" max="44" width="10.5" style="1" customWidth="1"/>
    <col min="45" max="45" width="12" style="1" customWidth="1"/>
    <col min="46" max="47" width="10.25" style="1" customWidth="1"/>
    <col min="48" max="48" width="12.375" style="1" customWidth="1"/>
    <col min="49" max="49" width="8.5" style="1" customWidth="1"/>
    <col min="50" max="50" width="11.75" style="1" customWidth="1"/>
    <col min="51" max="51" width="10.25" style="1" customWidth="1"/>
    <col min="52" max="52" width="10.5" style="1" customWidth="1"/>
    <col min="53" max="53" width="11" style="1" customWidth="1"/>
    <col min="54" max="58" width="6.75" style="1" customWidth="1"/>
    <col min="59" max="59" width="8.5" style="1" customWidth="1"/>
    <col min="60" max="60" width="10.5" style="1" customWidth="1"/>
    <col min="61" max="61" width="8.5" style="1" customWidth="1"/>
    <col min="62" max="62" width="10.25" style="1" customWidth="1"/>
    <col min="63" max="63" width="10.5" style="1" customWidth="1"/>
    <col min="64" max="64" width="65.125" style="1" customWidth="1"/>
    <col min="65" max="65" width="7.625" style="1" hidden="1" customWidth="1"/>
    <col min="66" max="66" width="10.125" style="1" hidden="1" customWidth="1"/>
    <col min="67" max="68" width="7.625" style="1" hidden="1" customWidth="1"/>
    <col min="69" max="69" width="16.375" style="1" customWidth="1"/>
    <col min="70" max="70" width="18.5" style="1" customWidth="1"/>
    <col min="71" max="76" width="8.5" style="1" hidden="1" customWidth="1"/>
    <col min="77" max="78" width="10.25" style="1" hidden="1" customWidth="1"/>
    <col min="79" max="80" width="8.5" style="1" hidden="1" customWidth="1"/>
    <col min="81" max="85" width="10.25" style="1" hidden="1" customWidth="1"/>
    <col min="86" max="89" width="8.75" style="1" customWidth="1"/>
    <col min="90" max="110" width="8.75" style="1"/>
  </cols>
  <sheetData>
    <row r="1" ht="26.25" customHeight="1" spans="1:85">
      <c r="A1" s="4" t="s">
        <v>24</v>
      </c>
      <c r="B1" s="4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  <c r="I1" s="5" t="s">
        <v>32</v>
      </c>
      <c r="J1" s="5" t="s">
        <v>33</v>
      </c>
      <c r="K1" s="5" t="s">
        <v>34</v>
      </c>
      <c r="L1" s="5" t="s">
        <v>35</v>
      </c>
      <c r="M1" s="4" t="s">
        <v>36</v>
      </c>
      <c r="N1" s="4" t="s">
        <v>37</v>
      </c>
      <c r="O1" s="4" t="s">
        <v>38</v>
      </c>
      <c r="P1" s="4" t="s">
        <v>39</v>
      </c>
      <c r="Q1" s="4" t="s">
        <v>40</v>
      </c>
      <c r="R1" s="4" t="s">
        <v>41</v>
      </c>
      <c r="S1" s="6" t="s">
        <v>42</v>
      </c>
      <c r="T1" s="4" t="s">
        <v>43</v>
      </c>
      <c r="U1" s="4" t="s">
        <v>44</v>
      </c>
      <c r="V1" s="4" t="s">
        <v>45</v>
      </c>
      <c r="W1" s="7" t="s">
        <v>46</v>
      </c>
      <c r="X1" s="4" t="s">
        <v>47</v>
      </c>
      <c r="Y1" s="4" t="s">
        <v>48</v>
      </c>
      <c r="Z1" s="4" t="s">
        <v>49</v>
      </c>
      <c r="AA1" s="7" t="s">
        <v>50</v>
      </c>
      <c r="AB1" s="6" t="s">
        <v>51</v>
      </c>
      <c r="AC1" s="4" t="s">
        <v>52</v>
      </c>
      <c r="AD1" s="4" t="s">
        <v>53</v>
      </c>
      <c r="AE1" s="4" t="s">
        <v>54</v>
      </c>
      <c r="AF1" s="4" t="s">
        <v>55</v>
      </c>
      <c r="AG1" s="4" t="s">
        <v>56</v>
      </c>
      <c r="AH1" s="4" t="s">
        <v>57</v>
      </c>
      <c r="AI1" s="6" t="s">
        <v>58</v>
      </c>
      <c r="AJ1" s="4" t="s">
        <v>59</v>
      </c>
      <c r="AK1" s="4" t="s">
        <v>60</v>
      </c>
      <c r="AL1" s="6" t="s">
        <v>61</v>
      </c>
      <c r="AM1" s="4" t="s">
        <v>62</v>
      </c>
      <c r="AN1" s="4" t="s">
        <v>63</v>
      </c>
      <c r="AO1" s="6" t="s">
        <v>64</v>
      </c>
      <c r="AP1" s="8" t="s">
        <v>65</v>
      </c>
      <c r="AQ1" s="8" t="s">
        <v>66</v>
      </c>
      <c r="AR1" s="9" t="s">
        <v>67</v>
      </c>
      <c r="AS1" s="4" t="s">
        <v>68</v>
      </c>
      <c r="AT1" s="4" t="s">
        <v>69</v>
      </c>
      <c r="AU1" s="10" t="s">
        <v>70</v>
      </c>
      <c r="AV1" s="4" t="s">
        <v>71</v>
      </c>
      <c r="AW1" s="4" t="s">
        <v>72</v>
      </c>
      <c r="AX1" s="10" t="s">
        <v>73</v>
      </c>
      <c r="AY1" s="9" t="s">
        <v>74</v>
      </c>
      <c r="AZ1" s="9" t="s">
        <v>75</v>
      </c>
      <c r="BA1" s="11" t="s">
        <v>76</v>
      </c>
      <c r="BB1" s="11" t="s">
        <v>77</v>
      </c>
      <c r="BC1" s="11" t="s">
        <v>78</v>
      </c>
      <c r="BD1" s="11" t="s">
        <v>79</v>
      </c>
      <c r="BE1" s="11" t="s">
        <v>80</v>
      </c>
      <c r="BF1" s="11" t="s">
        <v>81</v>
      </c>
      <c r="BG1" s="11" t="s">
        <v>82</v>
      </c>
      <c r="BH1" s="7" t="s">
        <v>83</v>
      </c>
      <c r="BI1" s="12" t="s">
        <v>9</v>
      </c>
      <c r="BJ1" s="12" t="s">
        <v>10</v>
      </c>
      <c r="BK1" s="12" t="s">
        <v>11</v>
      </c>
      <c r="BL1" s="4" t="s">
        <v>12</v>
      </c>
      <c r="BM1" s="4" t="s">
        <v>84</v>
      </c>
      <c r="BN1" s="4" t="s">
        <v>85</v>
      </c>
      <c r="BO1" s="4" t="s">
        <v>86</v>
      </c>
      <c r="BP1" s="4" t="s">
        <v>87</v>
      </c>
      <c r="BQ1" s="4" t="s">
        <v>88</v>
      </c>
      <c r="BR1" s="4" t="s">
        <v>89</v>
      </c>
      <c r="BS1" s="13" t="s">
        <v>90</v>
      </c>
      <c r="BT1" s="13" t="s">
        <v>91</v>
      </c>
      <c r="BU1" s="13" t="s">
        <v>92</v>
      </c>
      <c r="BV1" s="13" t="s">
        <v>93</v>
      </c>
      <c r="BW1" s="14" t="s">
        <v>94</v>
      </c>
      <c r="BX1" s="14" t="s">
        <v>95</v>
      </c>
      <c r="BY1" s="14" t="s">
        <v>96</v>
      </c>
      <c r="BZ1" s="14" t="s">
        <v>97</v>
      </c>
      <c r="CA1" s="14" t="s">
        <v>98</v>
      </c>
      <c r="CB1" s="14" t="s">
        <v>99</v>
      </c>
      <c r="CC1" s="13" t="s">
        <v>100</v>
      </c>
      <c r="CD1" s="13" t="s">
        <v>101</v>
      </c>
      <c r="CE1" s="13" t="s">
        <v>102</v>
      </c>
      <c r="CF1" s="14" t="s">
        <v>103</v>
      </c>
      <c r="CG1" s="14" t="s">
        <v>104</v>
      </c>
    </row>
    <row r="2" s="1" customFormat="1" ht="27" customHeight="1" spans="1:85">
      <c r="A2" s="15">
        <f>IF(OR(B2="正常",B2="新增"),MAX(A$1:$B1)+1,"")</f>
        <v>1</v>
      </c>
      <c r="B2" s="16" t="s">
        <v>105</v>
      </c>
      <c r="C2" s="17" t="s">
        <v>2</v>
      </c>
      <c r="D2" s="15" t="s">
        <v>106</v>
      </c>
      <c r="E2" s="18" t="s">
        <v>107</v>
      </c>
      <c r="F2" s="19" t="s">
        <v>14</v>
      </c>
      <c r="G2" s="19" t="s">
        <v>108</v>
      </c>
      <c r="H2" s="15">
        <v>202311</v>
      </c>
      <c r="I2" s="15">
        <v>202311</v>
      </c>
      <c r="J2" s="15">
        <v>202603</v>
      </c>
      <c r="K2" s="15">
        <f>J2</f>
        <v>202603</v>
      </c>
      <c r="L2" s="15">
        <f>K2</f>
        <v>202603</v>
      </c>
      <c r="M2" s="20">
        <v>7460</v>
      </c>
      <c r="N2" s="21">
        <v>0.16</v>
      </c>
      <c r="O2" s="20">
        <f>ROUND(M2*N2,2)</f>
        <v>1193.6</v>
      </c>
      <c r="P2" s="20">
        <f>M2</f>
        <v>7460</v>
      </c>
      <c r="Q2" s="21">
        <v>0.08</v>
      </c>
      <c r="R2" s="20">
        <f>ROUNDUP(P2*Q2,2)</f>
        <v>596.8</v>
      </c>
      <c r="S2" s="22">
        <f>O2+R2</f>
        <v>1790.4</v>
      </c>
      <c r="T2" s="20">
        <v>7460</v>
      </c>
      <c r="U2" s="21">
        <v>0.09</v>
      </c>
      <c r="V2" s="23">
        <v>0</v>
      </c>
      <c r="W2" s="24">
        <f>ROUND(T2*U2,2)+V2+BW2+BY2+BZ2+CA2</f>
        <v>671.4</v>
      </c>
      <c r="X2" s="20">
        <f>T2</f>
        <v>7460</v>
      </c>
      <c r="Y2" s="25">
        <v>0.02</v>
      </c>
      <c r="Z2" s="20">
        <v>0</v>
      </c>
      <c r="AA2" s="24">
        <f>ROUNDUP(X2*Y2,2)+Z2+BX2+CB2</f>
        <v>149.2</v>
      </c>
      <c r="AB2" s="22">
        <f>W2+AA2</f>
        <v>820.6</v>
      </c>
      <c r="AC2" s="20">
        <v>7460</v>
      </c>
      <c r="AD2" s="25">
        <v>0.005</v>
      </c>
      <c r="AE2" s="20">
        <f>ROUND(AC2*AD2,2)</f>
        <v>37.3</v>
      </c>
      <c r="AF2" s="20">
        <f>AC2</f>
        <v>7460</v>
      </c>
      <c r="AG2" s="25">
        <v>0.005</v>
      </c>
      <c r="AH2" s="20">
        <f>ROUND(AF2*AG2,2)</f>
        <v>37.3</v>
      </c>
      <c r="AI2" s="22">
        <f>AE2+AH2</f>
        <v>74.6</v>
      </c>
      <c r="AJ2" s="20">
        <v>0</v>
      </c>
      <c r="AK2" s="21">
        <v>0</v>
      </c>
      <c r="AL2" s="22">
        <f>ROUND(AJ2*AK2,2)</f>
        <v>0</v>
      </c>
      <c r="AM2" s="20">
        <v>7460</v>
      </c>
      <c r="AN2" s="25">
        <v>0.002</v>
      </c>
      <c r="AO2" s="22">
        <f>ROUND(AM2*AN2,2)</f>
        <v>14.92</v>
      </c>
      <c r="AP2" s="26">
        <f>O2+AO2+AL2+AE2+W2</f>
        <v>1917.22</v>
      </c>
      <c r="AQ2" s="26">
        <f>R2+AH2+AA2</f>
        <v>783.3</v>
      </c>
      <c r="AR2" s="26">
        <f>AP2+AQ2</f>
        <v>2700.52</v>
      </c>
      <c r="AS2" s="20">
        <v>7384</v>
      </c>
      <c r="AT2" s="27">
        <v>0.07</v>
      </c>
      <c r="AU2" s="24">
        <f>ROUND(AS2*AT2,0)+CF2</f>
        <v>517</v>
      </c>
      <c r="AV2" s="20">
        <f>AS2</f>
        <v>7384</v>
      </c>
      <c r="AW2" s="27">
        <f>AT2</f>
        <v>0.07</v>
      </c>
      <c r="AX2" s="24">
        <f>ROUND(AV2*AW2,0)+CG2</f>
        <v>517</v>
      </c>
      <c r="AY2" s="26">
        <f>AU2+AX2</f>
        <v>1034</v>
      </c>
      <c r="AZ2" s="26">
        <f>AR2+AY2</f>
        <v>3734.52</v>
      </c>
      <c r="BA2" s="28">
        <f>ROUNDUP(M2*1.5%*90%,1)</f>
        <v>100.8</v>
      </c>
      <c r="BB2" s="28">
        <v>0</v>
      </c>
      <c r="BC2" s="28">
        <v>0</v>
      </c>
      <c r="BD2" s="28">
        <v>0</v>
      </c>
      <c r="BE2" s="28">
        <v>0</v>
      </c>
      <c r="BF2" s="28">
        <v>0</v>
      </c>
      <c r="BG2" s="28">
        <v>0</v>
      </c>
      <c r="BH2" s="29">
        <f>SUM(AZ2:BG2)</f>
        <v>3835.32</v>
      </c>
      <c r="BI2" s="28">
        <v>30</v>
      </c>
      <c r="BJ2" s="28">
        <f t="shared" ref="BJ2:BJ16" si="0">SUM(BH2:BI2)*6.72%</f>
        <v>259.749504</v>
      </c>
      <c r="BK2" s="28">
        <f t="shared" ref="BK2:BK16" si="1">SUM(BH2:BJ2)</f>
        <v>4125.069504</v>
      </c>
      <c r="BL2" s="30"/>
      <c r="BM2" s="31"/>
      <c r="BN2" s="32">
        <f>AR2-BM2</f>
        <v>2700.52</v>
      </c>
      <c r="BO2" s="31"/>
      <c r="BP2" s="32">
        <f>AY2-BO2</f>
        <v>1034</v>
      </c>
      <c r="BQ2" s="33"/>
      <c r="BR2" s="34"/>
      <c r="BS2" s="33"/>
      <c r="BT2" s="33"/>
      <c r="BU2" s="33"/>
      <c r="BV2" s="33"/>
      <c r="BW2" s="15"/>
      <c r="BX2" s="15"/>
      <c r="BY2" s="15"/>
      <c r="BZ2" s="15"/>
      <c r="CA2" s="15"/>
      <c r="CB2" s="15"/>
      <c r="CC2" s="33"/>
      <c r="CD2" s="35"/>
      <c r="CE2" s="35"/>
      <c r="CF2" s="33"/>
      <c r="CG2" s="33"/>
    </row>
    <row r="3" s="1" customFormat="1" ht="27" customHeight="1" spans="1:85">
      <c r="A3" s="15">
        <f>IF(OR(B3="正常",B3="新增"),MAX(A$1:$B2)+1,"")</f>
        <v>2</v>
      </c>
      <c r="B3" s="16" t="s">
        <v>105</v>
      </c>
      <c r="C3" s="17" t="s">
        <v>2</v>
      </c>
      <c r="D3" s="15" t="s">
        <v>109</v>
      </c>
      <c r="E3" s="18" t="s">
        <v>110</v>
      </c>
      <c r="F3" s="19" t="s">
        <v>16</v>
      </c>
      <c r="G3" s="19" t="s">
        <v>111</v>
      </c>
      <c r="H3" s="15">
        <v>202311</v>
      </c>
      <c r="I3" s="15">
        <v>202311</v>
      </c>
      <c r="J3" s="15">
        <v>202603</v>
      </c>
      <c r="K3" s="15">
        <f>J3</f>
        <v>202603</v>
      </c>
      <c r="L3" s="15">
        <f>K3</f>
        <v>202603</v>
      </c>
      <c r="M3" s="20">
        <v>5510</v>
      </c>
      <c r="N3" s="21">
        <v>0.16</v>
      </c>
      <c r="O3" s="20">
        <f>ROUND(M3*N3,2)</f>
        <v>881.6</v>
      </c>
      <c r="P3" s="20">
        <f>M3</f>
        <v>5510</v>
      </c>
      <c r="Q3" s="21">
        <v>0.08</v>
      </c>
      <c r="R3" s="20">
        <f>ROUND(P3*Q3,2)</f>
        <v>440.8</v>
      </c>
      <c r="S3" s="22">
        <f>O3+R3</f>
        <v>1322.4</v>
      </c>
      <c r="T3" s="20">
        <v>6234</v>
      </c>
      <c r="U3" s="21">
        <v>0.0685</v>
      </c>
      <c r="V3" s="23">
        <v>0</v>
      </c>
      <c r="W3" s="24">
        <f>ROUND(T3*U3,2)+V3+BW3+BY3+BZ3+CA3</f>
        <v>427.03</v>
      </c>
      <c r="X3" s="20">
        <f>T3</f>
        <v>6234</v>
      </c>
      <c r="Y3" s="25">
        <v>0.02</v>
      </c>
      <c r="Z3" s="20">
        <v>0</v>
      </c>
      <c r="AA3" s="24">
        <f>ROUND(X3*Y3,2)+Z3+BX3+CB3</f>
        <v>124.68</v>
      </c>
      <c r="AB3" s="22">
        <f>W3+AA3</f>
        <v>551.71</v>
      </c>
      <c r="AC3" s="20">
        <v>3500</v>
      </c>
      <c r="AD3" s="25">
        <v>0.008</v>
      </c>
      <c r="AE3" s="20">
        <f>ROUND(AC3*AD3,2)</f>
        <v>28</v>
      </c>
      <c r="AF3" s="20">
        <f>AC3</f>
        <v>3500</v>
      </c>
      <c r="AG3" s="25">
        <v>0.002</v>
      </c>
      <c r="AH3" s="20">
        <f>ROUND(AF3*AG3,2)</f>
        <v>7</v>
      </c>
      <c r="AI3" s="22">
        <f>AE3+AH3</f>
        <v>35</v>
      </c>
      <c r="AJ3" s="20">
        <v>0</v>
      </c>
      <c r="AK3" s="21">
        <v>0</v>
      </c>
      <c r="AL3" s="22">
        <f>ROUND(AJ3*AK3,2)</f>
        <v>0</v>
      </c>
      <c r="AM3" s="20">
        <v>3500</v>
      </c>
      <c r="AN3" s="36">
        <v>0.004</v>
      </c>
      <c r="AO3" s="22">
        <f>ROUND(AM3*AN3,2)</f>
        <v>14</v>
      </c>
      <c r="AP3" s="26">
        <f>O3+AO3+AL3+AE3+W3</f>
        <v>1350.63</v>
      </c>
      <c r="AQ3" s="26">
        <f>R3+AH3+AA3</f>
        <v>572.48</v>
      </c>
      <c r="AR3" s="26">
        <f>AP3+AQ3</f>
        <v>1923.11</v>
      </c>
      <c r="AS3" s="37">
        <v>25000</v>
      </c>
      <c r="AT3" s="27">
        <v>0.12</v>
      </c>
      <c r="AU3" s="24">
        <f>ROUND(AS3*AT3,0)+CF3</f>
        <v>3000</v>
      </c>
      <c r="AV3" s="20">
        <f>AS3</f>
        <v>25000</v>
      </c>
      <c r="AW3" s="27">
        <f>AT3</f>
        <v>0.12</v>
      </c>
      <c r="AX3" s="24">
        <f>ROUND(AV3*AW3,0)+CG3</f>
        <v>3000</v>
      </c>
      <c r="AY3" s="26">
        <f>AU3+AX3</f>
        <v>6000</v>
      </c>
      <c r="AZ3" s="26">
        <f>AR3+AY3</f>
        <v>7923.11</v>
      </c>
      <c r="BA3" s="28">
        <v>30.59</v>
      </c>
      <c r="BB3" s="38">
        <v>0</v>
      </c>
      <c r="BC3" s="38">
        <v>0</v>
      </c>
      <c r="BD3" s="38">
        <v>0</v>
      </c>
      <c r="BE3" s="38">
        <v>0</v>
      </c>
      <c r="BF3" s="38">
        <v>0</v>
      </c>
      <c r="BG3" s="38">
        <v>0</v>
      </c>
      <c r="BH3" s="24">
        <f>SUM(AZ3:BG3)</f>
        <v>7953.7</v>
      </c>
      <c r="BI3" s="38">
        <v>30</v>
      </c>
      <c r="BJ3" s="28">
        <f t="shared" si="0"/>
        <v>536.50464</v>
      </c>
      <c r="BK3" s="28">
        <f t="shared" si="1"/>
        <v>8520.20464</v>
      </c>
      <c r="BL3" s="39"/>
      <c r="BM3" s="31"/>
      <c r="BN3" s="32">
        <f>AR3-BM3</f>
        <v>1923.11</v>
      </c>
      <c r="BO3" s="31"/>
      <c r="BP3" s="32">
        <f>AY3-BO3</f>
        <v>6000</v>
      </c>
      <c r="BQ3" s="33"/>
      <c r="BR3" s="34"/>
      <c r="BS3" s="33"/>
      <c r="BT3" s="33"/>
      <c r="BU3" s="33"/>
      <c r="BV3" s="33"/>
      <c r="BW3" s="15"/>
      <c r="BX3" s="15"/>
      <c r="BY3" s="15"/>
      <c r="BZ3" s="15"/>
      <c r="CA3" s="15"/>
      <c r="CB3" s="15"/>
      <c r="CC3" s="33"/>
      <c r="CD3" s="35"/>
      <c r="CE3" s="35"/>
      <c r="CF3" s="33"/>
      <c r="CG3" s="33"/>
    </row>
    <row r="4" s="1" customFormat="1" ht="27" customHeight="1" spans="1:85">
      <c r="A4" s="15">
        <f>IF(OR(B4="正常",B4="新增"),MAX(A$1:$B3)+1,"")</f>
        <v>3</v>
      </c>
      <c r="B4" s="16" t="s">
        <v>105</v>
      </c>
      <c r="C4" s="17" t="s">
        <v>2</v>
      </c>
      <c r="D4" s="15" t="s">
        <v>112</v>
      </c>
      <c r="E4" s="18" t="s">
        <v>113</v>
      </c>
      <c r="F4" s="19" t="s">
        <v>14</v>
      </c>
      <c r="G4" s="19" t="s">
        <v>108</v>
      </c>
      <c r="H4" s="15">
        <v>202401</v>
      </c>
      <c r="I4" s="15">
        <v>202401</v>
      </c>
      <c r="J4" s="15">
        <v>202603</v>
      </c>
      <c r="K4" s="15">
        <f>J4</f>
        <v>202603</v>
      </c>
      <c r="L4" s="15">
        <f>K4</f>
        <v>202603</v>
      </c>
      <c r="M4" s="20">
        <v>7460</v>
      </c>
      <c r="N4" s="21">
        <v>0.16</v>
      </c>
      <c r="O4" s="20">
        <f>ROUND(M4*N4,2)</f>
        <v>1193.6</v>
      </c>
      <c r="P4" s="20">
        <f>M4</f>
        <v>7460</v>
      </c>
      <c r="Q4" s="21">
        <v>0.08</v>
      </c>
      <c r="R4" s="20">
        <f>ROUNDUP(P4*Q4,2)</f>
        <v>596.8</v>
      </c>
      <c r="S4" s="22">
        <f>O4+R4</f>
        <v>1790.4</v>
      </c>
      <c r="T4" s="20">
        <v>7460</v>
      </c>
      <c r="U4" s="21">
        <v>0.09</v>
      </c>
      <c r="V4" s="23">
        <v>0</v>
      </c>
      <c r="W4" s="24">
        <f>ROUND(T4*U4,2)+V4+BW4+BY4+BZ4+CA4</f>
        <v>671.4</v>
      </c>
      <c r="X4" s="20">
        <f>T4</f>
        <v>7460</v>
      </c>
      <c r="Y4" s="25">
        <v>0.02</v>
      </c>
      <c r="Z4" s="20">
        <v>0</v>
      </c>
      <c r="AA4" s="24">
        <f>ROUNDUP(X4*Y4,2)+Z4+BX4+CB4</f>
        <v>149.2</v>
      </c>
      <c r="AB4" s="22">
        <f>W4+AA4</f>
        <v>820.6</v>
      </c>
      <c r="AC4" s="20">
        <v>7460</v>
      </c>
      <c r="AD4" s="25">
        <v>0.005</v>
      </c>
      <c r="AE4" s="20">
        <f>ROUND(AC4*AD4,2)</f>
        <v>37.3</v>
      </c>
      <c r="AF4" s="20">
        <f>AC4</f>
        <v>7460</v>
      </c>
      <c r="AG4" s="25">
        <v>0.005</v>
      </c>
      <c r="AH4" s="20">
        <f>ROUND(AF4*AG4,2)</f>
        <v>37.3</v>
      </c>
      <c r="AI4" s="22">
        <f>AE4+AH4</f>
        <v>74.6</v>
      </c>
      <c r="AJ4" s="20">
        <v>0</v>
      </c>
      <c r="AK4" s="21">
        <v>0</v>
      </c>
      <c r="AL4" s="22">
        <f>ROUND(AJ4*AK4,2)</f>
        <v>0</v>
      </c>
      <c r="AM4" s="20">
        <v>7460</v>
      </c>
      <c r="AN4" s="25">
        <v>0.002</v>
      </c>
      <c r="AO4" s="22">
        <f>ROUND(AM4*AN4,2)</f>
        <v>14.92</v>
      </c>
      <c r="AP4" s="26">
        <f>O4+AO4+AL4+AE4+W4</f>
        <v>1917.22</v>
      </c>
      <c r="AQ4" s="26">
        <f>R4+AH4+AA4</f>
        <v>783.3</v>
      </c>
      <c r="AR4" s="26">
        <f>AP4+AQ4</f>
        <v>2700.52</v>
      </c>
      <c r="AS4" s="20">
        <v>7384</v>
      </c>
      <c r="AT4" s="27">
        <v>0.07</v>
      </c>
      <c r="AU4" s="24">
        <f>ROUND(AS4*AT4,0)+CF4</f>
        <v>517</v>
      </c>
      <c r="AV4" s="20">
        <f>AS4</f>
        <v>7384</v>
      </c>
      <c r="AW4" s="27">
        <f>AT4</f>
        <v>0.07</v>
      </c>
      <c r="AX4" s="24">
        <f>ROUND(AV4*AW4,0)+CG4</f>
        <v>517</v>
      </c>
      <c r="AY4" s="26">
        <f>AU4+AX4</f>
        <v>1034</v>
      </c>
      <c r="AZ4" s="26">
        <f>AR4+AY4</f>
        <v>3734.52</v>
      </c>
      <c r="BA4" s="28">
        <f>ROUNDUP(M4*1.5%*90%,1)</f>
        <v>100.8</v>
      </c>
      <c r="BB4" s="28">
        <v>0</v>
      </c>
      <c r="BC4" s="28">
        <v>0</v>
      </c>
      <c r="BD4" s="28">
        <v>0</v>
      </c>
      <c r="BE4" s="28">
        <v>0</v>
      </c>
      <c r="BF4" s="28">
        <v>0</v>
      </c>
      <c r="BG4" s="28">
        <v>0</v>
      </c>
      <c r="BH4" s="29">
        <f>SUM(AZ4:BG4)</f>
        <v>3835.32</v>
      </c>
      <c r="BI4" s="28">
        <v>30</v>
      </c>
      <c r="BJ4" s="28">
        <f t="shared" si="0"/>
        <v>259.749504</v>
      </c>
      <c r="BK4" s="28">
        <f t="shared" si="1"/>
        <v>4125.069504</v>
      </c>
      <c r="BL4" s="30"/>
      <c r="BM4" s="31"/>
      <c r="BN4" s="32">
        <f>AR4-BM4</f>
        <v>2700.52</v>
      </c>
      <c r="BO4" s="31"/>
      <c r="BP4" s="32">
        <f>AY4-BO4</f>
        <v>1034</v>
      </c>
      <c r="BQ4" s="33"/>
      <c r="BR4" s="34"/>
      <c r="BS4" s="33"/>
      <c r="BT4" s="33"/>
      <c r="BU4" s="33"/>
      <c r="BV4" s="33"/>
      <c r="BW4" s="15"/>
      <c r="BX4" s="15"/>
      <c r="BY4" s="15"/>
      <c r="BZ4" s="15"/>
      <c r="CA4" s="15"/>
      <c r="CB4" s="15"/>
      <c r="CC4" s="33"/>
      <c r="CD4" s="35"/>
      <c r="CE4" s="35"/>
      <c r="CF4" s="33"/>
      <c r="CG4" s="33"/>
    </row>
    <row r="5" s="1" customFormat="1" ht="27" customHeight="1" spans="1:85">
      <c r="A5" s="15">
        <f>IF(OR(B5="正常",B5="新增"),MAX(A$1:$B4)+1,"")</f>
        <v>4</v>
      </c>
      <c r="B5" s="16" t="s">
        <v>105</v>
      </c>
      <c r="C5" s="17" t="s">
        <v>2</v>
      </c>
      <c r="D5" s="15" t="s">
        <v>114</v>
      </c>
      <c r="E5" s="18" t="s">
        <v>115</v>
      </c>
      <c r="F5" s="19" t="s">
        <v>14</v>
      </c>
      <c r="G5" s="19" t="s">
        <v>111</v>
      </c>
      <c r="H5" s="15">
        <v>202403</v>
      </c>
      <c r="I5" s="15">
        <v>202403</v>
      </c>
      <c r="J5" s="15">
        <v>202603</v>
      </c>
      <c r="K5" s="15">
        <f>J5</f>
        <v>202603</v>
      </c>
      <c r="L5" s="15">
        <f>K5</f>
        <v>202603</v>
      </c>
      <c r="M5" s="20">
        <v>7460</v>
      </c>
      <c r="N5" s="21">
        <v>0.16</v>
      </c>
      <c r="O5" s="20">
        <f>ROUND(M5*N5,2)</f>
        <v>1193.6</v>
      </c>
      <c r="P5" s="20">
        <f>M5</f>
        <v>7460</v>
      </c>
      <c r="Q5" s="21">
        <v>0.08</v>
      </c>
      <c r="R5" s="20">
        <f>ROUNDUP(P5*Q5,2)</f>
        <v>596.8</v>
      </c>
      <c r="S5" s="22">
        <f>O5+R5</f>
        <v>1790.4</v>
      </c>
      <c r="T5" s="20">
        <v>7460</v>
      </c>
      <c r="U5" s="21">
        <v>0.09</v>
      </c>
      <c r="V5" s="23">
        <v>0</v>
      </c>
      <c r="W5" s="24">
        <f>ROUND(T5*U5,2)+V5+BW5+BY5+BZ5+CA5</f>
        <v>671.4</v>
      </c>
      <c r="X5" s="20">
        <f>T5</f>
        <v>7460</v>
      </c>
      <c r="Y5" s="25">
        <v>0.02</v>
      </c>
      <c r="Z5" s="20">
        <v>0</v>
      </c>
      <c r="AA5" s="24">
        <f>ROUNDUP(X5*Y5,2)+Z5+BX5+CB5</f>
        <v>149.2</v>
      </c>
      <c r="AB5" s="22">
        <f>W5+AA5</f>
        <v>820.6</v>
      </c>
      <c r="AC5" s="20">
        <v>7460</v>
      </c>
      <c r="AD5" s="25">
        <v>0.005</v>
      </c>
      <c r="AE5" s="20">
        <f>ROUND(AC5*AD5,2)</f>
        <v>37.3</v>
      </c>
      <c r="AF5" s="20">
        <f>AC5</f>
        <v>7460</v>
      </c>
      <c r="AG5" s="25">
        <v>0.005</v>
      </c>
      <c r="AH5" s="20">
        <f>ROUND(AF5*AG5,2)</f>
        <v>37.3</v>
      </c>
      <c r="AI5" s="22">
        <f>AE5+AH5</f>
        <v>74.6</v>
      </c>
      <c r="AJ5" s="20">
        <v>0</v>
      </c>
      <c r="AK5" s="21">
        <v>0</v>
      </c>
      <c r="AL5" s="22">
        <f>ROUND(AJ5*AK5,2)</f>
        <v>0</v>
      </c>
      <c r="AM5" s="20">
        <v>7460</v>
      </c>
      <c r="AN5" s="25">
        <v>0.002</v>
      </c>
      <c r="AO5" s="22">
        <f>ROUND(AM5*AN5,2)</f>
        <v>14.92</v>
      </c>
      <c r="AP5" s="26">
        <f>O5+AO5+AL5+AE5+W5</f>
        <v>1917.22</v>
      </c>
      <c r="AQ5" s="26">
        <f>R5+AH5+AA5</f>
        <v>783.3</v>
      </c>
      <c r="AR5" s="26">
        <f>AP5+AQ5</f>
        <v>2700.52</v>
      </c>
      <c r="AS5" s="20">
        <v>7384</v>
      </c>
      <c r="AT5" s="27">
        <v>0.07</v>
      </c>
      <c r="AU5" s="24">
        <f>ROUND(AS5*AT5,0)+CF5</f>
        <v>517</v>
      </c>
      <c r="AV5" s="20">
        <f>AS5</f>
        <v>7384</v>
      </c>
      <c r="AW5" s="27">
        <f>AT5</f>
        <v>0.07</v>
      </c>
      <c r="AX5" s="24">
        <f>ROUND(AV5*AW5,0)+CG5</f>
        <v>517</v>
      </c>
      <c r="AY5" s="26">
        <f>AU5+AX5</f>
        <v>1034</v>
      </c>
      <c r="AZ5" s="26">
        <f>AR5+AY5</f>
        <v>3734.52</v>
      </c>
      <c r="BA5" s="28">
        <f>ROUNDUP(M5*1.5%*90%,1)</f>
        <v>100.8</v>
      </c>
      <c r="BB5" s="28">
        <v>0</v>
      </c>
      <c r="BC5" s="28">
        <v>0</v>
      </c>
      <c r="BD5" s="28">
        <v>0</v>
      </c>
      <c r="BE5" s="28">
        <v>0</v>
      </c>
      <c r="BF5" s="28">
        <v>0</v>
      </c>
      <c r="BG5" s="28">
        <v>0</v>
      </c>
      <c r="BH5" s="29">
        <f>SUM(AZ5:BG5)</f>
        <v>3835.32</v>
      </c>
      <c r="BI5" s="28">
        <v>30</v>
      </c>
      <c r="BJ5" s="28">
        <f t="shared" si="0"/>
        <v>259.749504</v>
      </c>
      <c r="BK5" s="28">
        <f t="shared" si="1"/>
        <v>4125.069504</v>
      </c>
      <c r="BL5" s="30"/>
      <c r="BM5" s="31"/>
      <c r="BN5" s="32">
        <f>AR5-BM5</f>
        <v>2700.52</v>
      </c>
      <c r="BO5" s="31"/>
      <c r="BP5" s="32">
        <f>AY5-BO5</f>
        <v>1034</v>
      </c>
      <c r="BQ5" s="33"/>
      <c r="BR5" s="34"/>
      <c r="BS5" s="33"/>
      <c r="BT5" s="33"/>
      <c r="BU5" s="33"/>
      <c r="BV5" s="33"/>
      <c r="BW5" s="15"/>
      <c r="BX5" s="15"/>
      <c r="BY5" s="15"/>
      <c r="BZ5" s="15"/>
      <c r="CA5" s="15"/>
      <c r="CB5" s="15"/>
      <c r="CC5" s="33"/>
      <c r="CD5" s="35"/>
      <c r="CE5" s="35"/>
      <c r="CF5" s="33"/>
      <c r="CG5" s="33"/>
    </row>
    <row r="6" s="1" customFormat="1" ht="27" customHeight="1" spans="1:85">
      <c r="A6" s="15">
        <f>IF(OR(B6="正常",B6="新增"),MAX(A$1:$B5)+1,"")</f>
        <v>5</v>
      </c>
      <c r="B6" s="16" t="s">
        <v>105</v>
      </c>
      <c r="C6" s="17" t="s">
        <v>2</v>
      </c>
      <c r="D6" s="15" t="s">
        <v>116</v>
      </c>
      <c r="E6" s="18" t="s">
        <v>117</v>
      </c>
      <c r="F6" s="19" t="s">
        <v>14</v>
      </c>
      <c r="G6" s="19" t="s">
        <v>118</v>
      </c>
      <c r="H6" s="15">
        <v>202405</v>
      </c>
      <c r="I6" s="15">
        <v>202405</v>
      </c>
      <c r="J6" s="15">
        <v>202603</v>
      </c>
      <c r="K6" s="15">
        <f t="shared" ref="K6:K14" si="2">J6</f>
        <v>202603</v>
      </c>
      <c r="L6" s="15">
        <f t="shared" ref="L6:L14" si="3">K6</f>
        <v>202603</v>
      </c>
      <c r="M6" s="20">
        <v>7460</v>
      </c>
      <c r="N6" s="21">
        <v>0.16</v>
      </c>
      <c r="O6" s="20">
        <f t="shared" ref="O6:O14" si="4">ROUND(M6*N6,2)</f>
        <v>1193.6</v>
      </c>
      <c r="P6" s="20">
        <f t="shared" ref="P6:P14" si="5">M6</f>
        <v>7460</v>
      </c>
      <c r="Q6" s="21">
        <v>0.08</v>
      </c>
      <c r="R6" s="20">
        <f t="shared" ref="R6:R14" si="6">ROUNDUP(P6*Q6,2)</f>
        <v>596.8</v>
      </c>
      <c r="S6" s="22">
        <f t="shared" ref="S6:S14" si="7">O6+R6</f>
        <v>1790.4</v>
      </c>
      <c r="T6" s="20">
        <v>7460</v>
      </c>
      <c r="U6" s="21">
        <v>0.09</v>
      </c>
      <c r="V6" s="23">
        <v>0</v>
      </c>
      <c r="W6" s="24">
        <f t="shared" ref="W6:W14" si="8">ROUND(T6*U6,2)+V6+BW6+BY6+BZ6+CA6</f>
        <v>671.4</v>
      </c>
      <c r="X6" s="20">
        <f t="shared" ref="X6:X14" si="9">T6</f>
        <v>7460</v>
      </c>
      <c r="Y6" s="25">
        <v>0.02</v>
      </c>
      <c r="Z6" s="20">
        <v>0</v>
      </c>
      <c r="AA6" s="24">
        <f t="shared" ref="AA6:AA14" si="10">ROUNDUP(X6*Y6,2)+Z6+BX6+CB6</f>
        <v>149.2</v>
      </c>
      <c r="AB6" s="22">
        <f t="shared" ref="AB6:AB14" si="11">W6+AA6</f>
        <v>820.6</v>
      </c>
      <c r="AC6" s="20">
        <v>7460</v>
      </c>
      <c r="AD6" s="25">
        <v>0.005</v>
      </c>
      <c r="AE6" s="20">
        <f t="shared" ref="AE6:AE14" si="12">ROUND(AC6*AD6,2)</f>
        <v>37.3</v>
      </c>
      <c r="AF6" s="20">
        <f t="shared" ref="AF6:AF14" si="13">AC6</f>
        <v>7460</v>
      </c>
      <c r="AG6" s="25">
        <v>0.005</v>
      </c>
      <c r="AH6" s="20">
        <f t="shared" ref="AH6:AH14" si="14">ROUND(AF6*AG6,2)</f>
        <v>37.3</v>
      </c>
      <c r="AI6" s="22">
        <f t="shared" ref="AI6:AI14" si="15">AE6+AH6</f>
        <v>74.6</v>
      </c>
      <c r="AJ6" s="20">
        <v>0</v>
      </c>
      <c r="AK6" s="21">
        <v>0</v>
      </c>
      <c r="AL6" s="22">
        <f t="shared" ref="AL6:AL14" si="16">ROUND(AJ6*AK6,2)</f>
        <v>0</v>
      </c>
      <c r="AM6" s="20">
        <v>7460</v>
      </c>
      <c r="AN6" s="25">
        <v>0.002</v>
      </c>
      <c r="AO6" s="22">
        <f t="shared" ref="AO6:AO14" si="17">ROUND(AM6*AN6,2)</f>
        <v>14.92</v>
      </c>
      <c r="AP6" s="26">
        <f t="shared" ref="AP6:AP14" si="18">O6+AO6+AL6+AE6+W6</f>
        <v>1917.22</v>
      </c>
      <c r="AQ6" s="26">
        <f t="shared" ref="AQ6:AQ14" si="19">R6+AH6+AA6</f>
        <v>783.3</v>
      </c>
      <c r="AR6" s="26">
        <f t="shared" ref="AR6:AR14" si="20">AP6+AQ6</f>
        <v>2700.52</v>
      </c>
      <c r="AS6" s="20">
        <v>7384</v>
      </c>
      <c r="AT6" s="27">
        <v>0.07</v>
      </c>
      <c r="AU6" s="24">
        <f t="shared" ref="AU6:AU14" si="21">ROUND(AS6*AT6,0)+CF6</f>
        <v>517</v>
      </c>
      <c r="AV6" s="20">
        <f t="shared" ref="AV6:AV14" si="22">AS6</f>
        <v>7384</v>
      </c>
      <c r="AW6" s="27">
        <f t="shared" ref="AW6:AW14" si="23">AT6</f>
        <v>0.07</v>
      </c>
      <c r="AX6" s="24">
        <f t="shared" ref="AX6:AX14" si="24">ROUND(AV6*AW6,0)+CG6</f>
        <v>517</v>
      </c>
      <c r="AY6" s="26">
        <f t="shared" ref="AY6:AY14" si="25">AU6+AX6</f>
        <v>1034</v>
      </c>
      <c r="AZ6" s="26">
        <f t="shared" ref="AZ6:AZ14" si="26">AR6+AY6</f>
        <v>3734.52</v>
      </c>
      <c r="BA6" s="38">
        <f>ROUNDUP(M6*1.5%*90%,1)</f>
        <v>100.8</v>
      </c>
      <c r="BB6" s="38">
        <v>0</v>
      </c>
      <c r="BC6" s="38">
        <v>0</v>
      </c>
      <c r="BD6" s="38">
        <v>0</v>
      </c>
      <c r="BE6" s="38">
        <v>0</v>
      </c>
      <c r="BF6" s="38">
        <v>0</v>
      </c>
      <c r="BG6" s="38">
        <v>0</v>
      </c>
      <c r="BH6" s="24">
        <f t="shared" ref="BH6:BH14" si="27">SUM(AZ6:BG6)</f>
        <v>3835.32</v>
      </c>
      <c r="BI6" s="38">
        <v>30</v>
      </c>
      <c r="BJ6" s="28">
        <f t="shared" si="0"/>
        <v>259.749504</v>
      </c>
      <c r="BK6" s="28">
        <f t="shared" si="1"/>
        <v>4125.069504</v>
      </c>
      <c r="BL6" s="30"/>
      <c r="BM6" s="31"/>
      <c r="BN6" s="32">
        <f t="shared" ref="BN6:BN14" si="28">AR6-BM6</f>
        <v>2700.52</v>
      </c>
      <c r="BO6" s="31"/>
      <c r="BP6" s="32">
        <f t="shared" ref="BP6:BP14" si="29">AY6-BO6</f>
        <v>1034</v>
      </c>
      <c r="BQ6" s="33"/>
      <c r="BR6" s="34"/>
      <c r="BS6" s="33"/>
      <c r="BT6" s="33"/>
      <c r="BU6" s="33"/>
      <c r="BV6" s="33"/>
      <c r="BW6" s="15"/>
      <c r="BX6" s="15"/>
      <c r="BY6" s="15"/>
      <c r="BZ6" s="15"/>
      <c r="CA6" s="15"/>
      <c r="CB6" s="15"/>
      <c r="CC6" s="33"/>
      <c r="CD6" s="35"/>
      <c r="CE6" s="35"/>
      <c r="CF6" s="33"/>
      <c r="CG6" s="33"/>
    </row>
    <row r="7" s="1" customFormat="1" ht="27" customHeight="1" spans="1:85">
      <c r="A7" s="15">
        <f>IF(OR(B7="正常",B7="新增"),MAX(A$1:$B6)+1,"")</f>
        <v>6</v>
      </c>
      <c r="B7" s="16" t="s">
        <v>105</v>
      </c>
      <c r="C7" s="17" t="s">
        <v>2</v>
      </c>
      <c r="D7" s="15" t="s">
        <v>119</v>
      </c>
      <c r="E7" s="18" t="s">
        <v>120</v>
      </c>
      <c r="F7" s="19" t="s">
        <v>14</v>
      </c>
      <c r="G7" s="19" t="s">
        <v>111</v>
      </c>
      <c r="H7" s="15">
        <v>202409</v>
      </c>
      <c r="I7" s="15">
        <v>202409</v>
      </c>
      <c r="J7" s="15">
        <v>202603</v>
      </c>
      <c r="K7" s="15">
        <f t="shared" si="2"/>
        <v>202603</v>
      </c>
      <c r="L7" s="15">
        <f t="shared" si="3"/>
        <v>202603</v>
      </c>
      <c r="M7" s="37">
        <v>12000</v>
      </c>
      <c r="N7" s="21">
        <v>0.16</v>
      </c>
      <c r="O7" s="20">
        <f t="shared" si="4"/>
        <v>1920</v>
      </c>
      <c r="P7" s="20">
        <f t="shared" si="5"/>
        <v>12000</v>
      </c>
      <c r="Q7" s="21">
        <v>0.08</v>
      </c>
      <c r="R7" s="20">
        <f t="shared" si="6"/>
        <v>960</v>
      </c>
      <c r="S7" s="22">
        <f t="shared" si="7"/>
        <v>2880</v>
      </c>
      <c r="T7" s="37">
        <v>12000</v>
      </c>
      <c r="U7" s="21">
        <v>0.09</v>
      </c>
      <c r="V7" s="23">
        <v>0</v>
      </c>
      <c r="W7" s="24">
        <f t="shared" si="8"/>
        <v>1080</v>
      </c>
      <c r="X7" s="20">
        <f t="shared" si="9"/>
        <v>12000</v>
      </c>
      <c r="Y7" s="25">
        <v>0.02</v>
      </c>
      <c r="Z7" s="20">
        <v>0</v>
      </c>
      <c r="AA7" s="24">
        <f t="shared" si="10"/>
        <v>240</v>
      </c>
      <c r="AB7" s="22">
        <f t="shared" si="11"/>
        <v>1320</v>
      </c>
      <c r="AC7" s="37">
        <v>12000</v>
      </c>
      <c r="AD7" s="25">
        <v>0.005</v>
      </c>
      <c r="AE7" s="20">
        <f t="shared" si="12"/>
        <v>60</v>
      </c>
      <c r="AF7" s="20">
        <f t="shared" si="13"/>
        <v>12000</v>
      </c>
      <c r="AG7" s="25">
        <v>0.005</v>
      </c>
      <c r="AH7" s="20">
        <f t="shared" si="14"/>
        <v>60</v>
      </c>
      <c r="AI7" s="22">
        <f t="shared" si="15"/>
        <v>120</v>
      </c>
      <c r="AJ7" s="20">
        <v>0</v>
      </c>
      <c r="AK7" s="21">
        <v>0</v>
      </c>
      <c r="AL7" s="22">
        <f t="shared" si="16"/>
        <v>0</v>
      </c>
      <c r="AM7" s="37">
        <v>12000</v>
      </c>
      <c r="AN7" s="25">
        <v>0.002</v>
      </c>
      <c r="AO7" s="22">
        <f t="shared" si="17"/>
        <v>24</v>
      </c>
      <c r="AP7" s="26">
        <f t="shared" si="18"/>
        <v>3084</v>
      </c>
      <c r="AQ7" s="26">
        <f t="shared" si="19"/>
        <v>1260</v>
      </c>
      <c r="AR7" s="26">
        <f t="shared" si="20"/>
        <v>4344</v>
      </c>
      <c r="AS7" s="37">
        <v>12000</v>
      </c>
      <c r="AT7" s="27">
        <v>0.07</v>
      </c>
      <c r="AU7" s="24">
        <f t="shared" si="21"/>
        <v>840</v>
      </c>
      <c r="AV7" s="20">
        <f t="shared" si="22"/>
        <v>12000</v>
      </c>
      <c r="AW7" s="27">
        <f t="shared" si="23"/>
        <v>0.07</v>
      </c>
      <c r="AX7" s="24">
        <f t="shared" si="24"/>
        <v>840</v>
      </c>
      <c r="AY7" s="26">
        <f t="shared" si="25"/>
        <v>1680</v>
      </c>
      <c r="AZ7" s="26">
        <f t="shared" si="26"/>
        <v>6024</v>
      </c>
      <c r="BA7" s="38">
        <f>ROUNDUP(M7*1.5%*90%,1)</f>
        <v>162</v>
      </c>
      <c r="BB7" s="38">
        <v>0</v>
      </c>
      <c r="BC7" s="38">
        <v>0</v>
      </c>
      <c r="BD7" s="38">
        <v>0</v>
      </c>
      <c r="BE7" s="38">
        <v>0</v>
      </c>
      <c r="BF7" s="38">
        <v>0</v>
      </c>
      <c r="BG7" s="38">
        <v>0</v>
      </c>
      <c r="BH7" s="24">
        <f t="shared" si="27"/>
        <v>6186</v>
      </c>
      <c r="BI7" s="38">
        <v>30</v>
      </c>
      <c r="BJ7" s="28">
        <f t="shared" si="0"/>
        <v>417.7152</v>
      </c>
      <c r="BK7" s="28">
        <f t="shared" si="1"/>
        <v>6633.7152</v>
      </c>
      <c r="BL7" s="30"/>
      <c r="BM7" s="31"/>
      <c r="BN7" s="32">
        <f t="shared" si="28"/>
        <v>4344</v>
      </c>
      <c r="BO7" s="31"/>
      <c r="BP7" s="32">
        <f t="shared" si="29"/>
        <v>1680</v>
      </c>
      <c r="BQ7" s="33"/>
      <c r="BR7" s="34"/>
      <c r="BS7" s="33"/>
      <c r="BT7" s="33"/>
      <c r="BU7" s="33"/>
      <c r="BV7" s="33"/>
      <c r="BW7" s="15"/>
      <c r="BX7" s="15"/>
      <c r="BY7" s="15"/>
      <c r="BZ7" s="15"/>
      <c r="CA7" s="15"/>
      <c r="CB7" s="15"/>
      <c r="CC7" s="33"/>
      <c r="CD7" s="35"/>
      <c r="CE7" s="35"/>
      <c r="CF7" s="33"/>
      <c r="CG7" s="33"/>
    </row>
    <row r="8" s="1" customFormat="1" ht="27" customHeight="1" spans="1:85">
      <c r="A8" s="15">
        <f>IF(OR(B8="正常",B8="新增"),MAX(A$1:$B7)+1,"")</f>
        <v>7</v>
      </c>
      <c r="B8" s="16" t="s">
        <v>105</v>
      </c>
      <c r="C8" s="17" t="s">
        <v>2</v>
      </c>
      <c r="D8" s="15" t="s">
        <v>121</v>
      </c>
      <c r="E8" s="18" t="s">
        <v>122</v>
      </c>
      <c r="F8" s="19" t="s">
        <v>14</v>
      </c>
      <c r="G8" s="19" t="s">
        <v>111</v>
      </c>
      <c r="H8" s="15">
        <v>202503</v>
      </c>
      <c r="I8" s="15">
        <v>202503</v>
      </c>
      <c r="J8" s="15">
        <v>202603</v>
      </c>
      <c r="K8" s="15">
        <f t="shared" si="2"/>
        <v>202603</v>
      </c>
      <c r="L8" s="15">
        <f t="shared" si="3"/>
        <v>202603</v>
      </c>
      <c r="M8" s="20">
        <v>7460</v>
      </c>
      <c r="N8" s="21">
        <v>0.16</v>
      </c>
      <c r="O8" s="20">
        <f t="shared" si="4"/>
        <v>1193.6</v>
      </c>
      <c r="P8" s="20">
        <f t="shared" si="5"/>
        <v>7460</v>
      </c>
      <c r="Q8" s="21">
        <v>0.08</v>
      </c>
      <c r="R8" s="20">
        <f t="shared" si="6"/>
        <v>596.8</v>
      </c>
      <c r="S8" s="22">
        <f t="shared" si="7"/>
        <v>1790.4</v>
      </c>
      <c r="T8" s="20">
        <v>7460</v>
      </c>
      <c r="U8" s="21">
        <v>0.09</v>
      </c>
      <c r="V8" s="23">
        <v>0</v>
      </c>
      <c r="W8" s="24">
        <f t="shared" si="8"/>
        <v>671.4</v>
      </c>
      <c r="X8" s="20">
        <f t="shared" si="9"/>
        <v>7460</v>
      </c>
      <c r="Y8" s="25">
        <v>0.02</v>
      </c>
      <c r="Z8" s="20">
        <v>0</v>
      </c>
      <c r="AA8" s="24">
        <f t="shared" si="10"/>
        <v>149.2</v>
      </c>
      <c r="AB8" s="22">
        <f t="shared" si="11"/>
        <v>820.6</v>
      </c>
      <c r="AC8" s="20">
        <v>7460</v>
      </c>
      <c r="AD8" s="25">
        <v>0.005</v>
      </c>
      <c r="AE8" s="20">
        <f t="shared" si="12"/>
        <v>37.3</v>
      </c>
      <c r="AF8" s="20">
        <f t="shared" si="13"/>
        <v>7460</v>
      </c>
      <c r="AG8" s="25">
        <v>0.005</v>
      </c>
      <c r="AH8" s="20">
        <f t="shared" si="14"/>
        <v>37.3</v>
      </c>
      <c r="AI8" s="22">
        <f t="shared" si="15"/>
        <v>74.6</v>
      </c>
      <c r="AJ8" s="20">
        <v>0</v>
      </c>
      <c r="AK8" s="21">
        <v>0</v>
      </c>
      <c r="AL8" s="22">
        <f t="shared" si="16"/>
        <v>0</v>
      </c>
      <c r="AM8" s="20">
        <v>7460</v>
      </c>
      <c r="AN8" s="25">
        <v>0.002</v>
      </c>
      <c r="AO8" s="22">
        <f t="shared" si="17"/>
        <v>14.92</v>
      </c>
      <c r="AP8" s="26">
        <f t="shared" si="18"/>
        <v>1917.22</v>
      </c>
      <c r="AQ8" s="26">
        <f t="shared" si="19"/>
        <v>783.3</v>
      </c>
      <c r="AR8" s="26">
        <f t="shared" si="20"/>
        <v>2700.52</v>
      </c>
      <c r="AS8" s="37">
        <v>7384</v>
      </c>
      <c r="AT8" s="27">
        <v>0.07</v>
      </c>
      <c r="AU8" s="24">
        <f t="shared" si="21"/>
        <v>517</v>
      </c>
      <c r="AV8" s="20">
        <f t="shared" si="22"/>
        <v>7384</v>
      </c>
      <c r="AW8" s="27">
        <f t="shared" si="23"/>
        <v>0.07</v>
      </c>
      <c r="AX8" s="24">
        <f t="shared" si="24"/>
        <v>517</v>
      </c>
      <c r="AY8" s="26">
        <f t="shared" si="25"/>
        <v>1034</v>
      </c>
      <c r="AZ8" s="26">
        <f t="shared" si="26"/>
        <v>3734.52</v>
      </c>
      <c r="BA8" s="38">
        <f>ROUNDUP(M8*1.5%*90%,1)</f>
        <v>100.8</v>
      </c>
      <c r="BB8" s="38">
        <v>0</v>
      </c>
      <c r="BC8" s="38">
        <v>0</v>
      </c>
      <c r="BD8" s="38">
        <v>0</v>
      </c>
      <c r="BE8" s="38">
        <v>0</v>
      </c>
      <c r="BF8" s="38">
        <v>0</v>
      </c>
      <c r="BG8" s="38">
        <v>0</v>
      </c>
      <c r="BH8" s="24">
        <f t="shared" si="27"/>
        <v>3835.32</v>
      </c>
      <c r="BI8" s="38">
        <v>30</v>
      </c>
      <c r="BJ8" s="28">
        <f t="shared" si="0"/>
        <v>259.749504</v>
      </c>
      <c r="BK8" s="28">
        <f t="shared" si="1"/>
        <v>4125.069504</v>
      </c>
      <c r="BL8" s="30"/>
      <c r="BM8" s="31"/>
      <c r="BN8" s="32">
        <f t="shared" si="28"/>
        <v>2700.52</v>
      </c>
      <c r="BO8" s="31"/>
      <c r="BP8" s="32">
        <f t="shared" si="29"/>
        <v>1034</v>
      </c>
      <c r="BQ8" s="33"/>
      <c r="BR8" s="34"/>
      <c r="BS8" s="33"/>
      <c r="BT8" s="33"/>
      <c r="BU8" s="33"/>
      <c r="BV8" s="33"/>
      <c r="BW8" s="15"/>
      <c r="BX8" s="15"/>
      <c r="BY8" s="15"/>
      <c r="BZ8" s="15"/>
      <c r="CA8" s="15"/>
      <c r="CB8" s="15"/>
      <c r="CC8" s="33"/>
      <c r="CD8" s="35"/>
      <c r="CE8" s="35"/>
      <c r="CF8" s="33"/>
      <c r="CG8" s="33"/>
    </row>
    <row r="9" s="1" customFormat="1" ht="27" customHeight="1" spans="1:85">
      <c r="A9" s="15">
        <f>IF(OR(B9="正常",B9="新增"),MAX(A$1:$B8)+1,"")</f>
        <v>8</v>
      </c>
      <c r="B9" s="16" t="s">
        <v>105</v>
      </c>
      <c r="C9" s="17" t="s">
        <v>2</v>
      </c>
      <c r="D9" s="15" t="s">
        <v>123</v>
      </c>
      <c r="E9" s="18" t="s">
        <v>124</v>
      </c>
      <c r="F9" s="19" t="s">
        <v>14</v>
      </c>
      <c r="G9" s="19" t="s">
        <v>118</v>
      </c>
      <c r="H9" s="15">
        <v>202504</v>
      </c>
      <c r="I9" s="15">
        <v>202504</v>
      </c>
      <c r="J9" s="15">
        <v>202603</v>
      </c>
      <c r="K9" s="15">
        <f t="shared" si="2"/>
        <v>202603</v>
      </c>
      <c r="L9" s="15">
        <f t="shared" si="3"/>
        <v>202603</v>
      </c>
      <c r="M9" s="37">
        <v>25000</v>
      </c>
      <c r="N9" s="21">
        <v>0.16</v>
      </c>
      <c r="O9" s="20">
        <f t="shared" si="4"/>
        <v>4000</v>
      </c>
      <c r="P9" s="20">
        <f t="shared" si="5"/>
        <v>25000</v>
      </c>
      <c r="Q9" s="21">
        <v>0.08</v>
      </c>
      <c r="R9" s="20">
        <f t="shared" si="6"/>
        <v>2000</v>
      </c>
      <c r="S9" s="22">
        <f t="shared" si="7"/>
        <v>6000</v>
      </c>
      <c r="T9" s="37">
        <v>25000</v>
      </c>
      <c r="U9" s="21">
        <v>0.09</v>
      </c>
      <c r="V9" s="23">
        <v>0</v>
      </c>
      <c r="W9" s="24">
        <f t="shared" si="8"/>
        <v>2250</v>
      </c>
      <c r="X9" s="20">
        <f t="shared" si="9"/>
        <v>25000</v>
      </c>
      <c r="Y9" s="25">
        <v>0.02</v>
      </c>
      <c r="Z9" s="20">
        <v>0</v>
      </c>
      <c r="AA9" s="24">
        <f t="shared" si="10"/>
        <v>500</v>
      </c>
      <c r="AB9" s="22">
        <f t="shared" si="11"/>
        <v>2750</v>
      </c>
      <c r="AC9" s="37">
        <v>25000</v>
      </c>
      <c r="AD9" s="25">
        <v>0.005</v>
      </c>
      <c r="AE9" s="20">
        <f t="shared" si="12"/>
        <v>125</v>
      </c>
      <c r="AF9" s="20">
        <f t="shared" si="13"/>
        <v>25000</v>
      </c>
      <c r="AG9" s="25">
        <v>0.005</v>
      </c>
      <c r="AH9" s="20">
        <f t="shared" si="14"/>
        <v>125</v>
      </c>
      <c r="AI9" s="22">
        <f t="shared" si="15"/>
        <v>250</v>
      </c>
      <c r="AJ9" s="20">
        <v>0</v>
      </c>
      <c r="AK9" s="21">
        <v>0</v>
      </c>
      <c r="AL9" s="22">
        <f t="shared" si="16"/>
        <v>0</v>
      </c>
      <c r="AM9" s="37">
        <v>25000</v>
      </c>
      <c r="AN9" s="25">
        <v>0.002</v>
      </c>
      <c r="AO9" s="22">
        <f t="shared" si="17"/>
        <v>50</v>
      </c>
      <c r="AP9" s="26">
        <f t="shared" si="18"/>
        <v>6425</v>
      </c>
      <c r="AQ9" s="26">
        <f t="shared" si="19"/>
        <v>2625</v>
      </c>
      <c r="AR9" s="26">
        <f t="shared" si="20"/>
        <v>9050</v>
      </c>
      <c r="AS9" s="37">
        <v>25000</v>
      </c>
      <c r="AT9" s="27">
        <v>0.07</v>
      </c>
      <c r="AU9" s="24">
        <f t="shared" si="21"/>
        <v>1750</v>
      </c>
      <c r="AV9" s="20">
        <f t="shared" si="22"/>
        <v>25000</v>
      </c>
      <c r="AW9" s="27">
        <f t="shared" si="23"/>
        <v>0.07</v>
      </c>
      <c r="AX9" s="24">
        <f t="shared" si="24"/>
        <v>1750</v>
      </c>
      <c r="AY9" s="26">
        <f t="shared" si="25"/>
        <v>3500</v>
      </c>
      <c r="AZ9" s="26">
        <f t="shared" si="26"/>
        <v>12550</v>
      </c>
      <c r="BA9" s="38">
        <f>ROUNDUP(24614*1.5%*90%,1)</f>
        <v>332.3</v>
      </c>
      <c r="BB9" s="38">
        <v>0</v>
      </c>
      <c r="BC9" s="38">
        <v>0</v>
      </c>
      <c r="BD9" s="38">
        <v>0</v>
      </c>
      <c r="BE9" s="38">
        <v>0</v>
      </c>
      <c r="BF9" s="38">
        <v>0</v>
      </c>
      <c r="BG9" s="38">
        <v>0</v>
      </c>
      <c r="BH9" s="24">
        <f t="shared" si="27"/>
        <v>12882.3</v>
      </c>
      <c r="BI9" s="38">
        <v>30</v>
      </c>
      <c r="BJ9" s="28">
        <f t="shared" si="0"/>
        <v>867.70656</v>
      </c>
      <c r="BK9" s="28">
        <f t="shared" si="1"/>
        <v>13780.00656</v>
      </c>
      <c r="BL9" s="30"/>
      <c r="BM9" s="31"/>
      <c r="BN9" s="32">
        <f t="shared" si="28"/>
        <v>9050</v>
      </c>
      <c r="BO9" s="31"/>
      <c r="BP9" s="32">
        <f t="shared" si="29"/>
        <v>3500</v>
      </c>
      <c r="BQ9" s="33"/>
      <c r="BR9" s="34"/>
      <c r="BS9" s="33"/>
      <c r="BT9" s="33"/>
      <c r="BU9" s="33"/>
      <c r="BV9" s="33"/>
      <c r="BW9" s="15"/>
      <c r="BX9" s="15"/>
      <c r="BY9" s="15"/>
      <c r="BZ9" s="15"/>
      <c r="CA9" s="15"/>
      <c r="CB9" s="15"/>
      <c r="CC9" s="33"/>
      <c r="CD9" s="35"/>
      <c r="CE9" s="35"/>
      <c r="CF9" s="33"/>
      <c r="CG9" s="33"/>
    </row>
    <row r="10" s="1" customFormat="1" ht="27" customHeight="1" spans="1:85">
      <c r="A10" s="15">
        <f>IF(OR(B10="正常",B10="新增"),MAX(A$1:$B9)+1,"")</f>
        <v>9</v>
      </c>
      <c r="B10" s="16" t="s">
        <v>105</v>
      </c>
      <c r="C10" s="17" t="s">
        <v>2</v>
      </c>
      <c r="D10" s="15" t="s">
        <v>125</v>
      </c>
      <c r="E10" s="18" t="s">
        <v>126</v>
      </c>
      <c r="F10" s="19" t="s">
        <v>14</v>
      </c>
      <c r="G10" s="19" t="s">
        <v>118</v>
      </c>
      <c r="H10" s="15">
        <v>202506</v>
      </c>
      <c r="I10" s="15">
        <v>202506</v>
      </c>
      <c r="J10" s="15">
        <v>202603</v>
      </c>
      <c r="K10" s="15">
        <f t="shared" si="2"/>
        <v>202603</v>
      </c>
      <c r="L10" s="15">
        <f t="shared" si="3"/>
        <v>202603</v>
      </c>
      <c r="M10" s="20">
        <v>7460</v>
      </c>
      <c r="N10" s="21">
        <v>0.16</v>
      </c>
      <c r="O10" s="20">
        <f t="shared" si="4"/>
        <v>1193.6</v>
      </c>
      <c r="P10" s="20">
        <f t="shared" si="5"/>
        <v>7460</v>
      </c>
      <c r="Q10" s="21">
        <v>0.08</v>
      </c>
      <c r="R10" s="20">
        <f t="shared" si="6"/>
        <v>596.8</v>
      </c>
      <c r="S10" s="22">
        <f t="shared" si="7"/>
        <v>1790.4</v>
      </c>
      <c r="T10" s="20">
        <v>7460</v>
      </c>
      <c r="U10" s="21">
        <v>0.09</v>
      </c>
      <c r="V10" s="23">
        <v>0</v>
      </c>
      <c r="W10" s="24">
        <f t="shared" si="8"/>
        <v>671.4</v>
      </c>
      <c r="X10" s="20">
        <f t="shared" si="9"/>
        <v>7460</v>
      </c>
      <c r="Y10" s="25">
        <v>0.02</v>
      </c>
      <c r="Z10" s="20">
        <v>0</v>
      </c>
      <c r="AA10" s="24">
        <f t="shared" si="10"/>
        <v>149.2</v>
      </c>
      <c r="AB10" s="22">
        <f t="shared" si="11"/>
        <v>820.6</v>
      </c>
      <c r="AC10" s="20">
        <v>7460</v>
      </c>
      <c r="AD10" s="25">
        <v>0.005</v>
      </c>
      <c r="AE10" s="20">
        <f t="shared" si="12"/>
        <v>37.3</v>
      </c>
      <c r="AF10" s="20">
        <f t="shared" si="13"/>
        <v>7460</v>
      </c>
      <c r="AG10" s="25">
        <v>0.005</v>
      </c>
      <c r="AH10" s="20">
        <f t="shared" si="14"/>
        <v>37.3</v>
      </c>
      <c r="AI10" s="22">
        <f t="shared" si="15"/>
        <v>74.6</v>
      </c>
      <c r="AJ10" s="20">
        <v>0</v>
      </c>
      <c r="AK10" s="21">
        <v>0</v>
      </c>
      <c r="AL10" s="22">
        <f t="shared" si="16"/>
        <v>0</v>
      </c>
      <c r="AM10" s="20">
        <v>7460</v>
      </c>
      <c r="AN10" s="25">
        <v>0.002</v>
      </c>
      <c r="AO10" s="22">
        <f t="shared" si="17"/>
        <v>14.92</v>
      </c>
      <c r="AP10" s="26">
        <f t="shared" si="18"/>
        <v>1917.22</v>
      </c>
      <c r="AQ10" s="26">
        <f t="shared" si="19"/>
        <v>783.3</v>
      </c>
      <c r="AR10" s="26">
        <f t="shared" si="20"/>
        <v>2700.52</v>
      </c>
      <c r="AS10" s="37">
        <v>7384</v>
      </c>
      <c r="AT10" s="27">
        <v>0.07</v>
      </c>
      <c r="AU10" s="24">
        <f t="shared" si="21"/>
        <v>517</v>
      </c>
      <c r="AV10" s="20">
        <f t="shared" si="22"/>
        <v>7384</v>
      </c>
      <c r="AW10" s="27">
        <f t="shared" si="23"/>
        <v>0.07</v>
      </c>
      <c r="AX10" s="24">
        <f t="shared" si="24"/>
        <v>517</v>
      </c>
      <c r="AY10" s="26">
        <f t="shared" si="25"/>
        <v>1034</v>
      </c>
      <c r="AZ10" s="26">
        <f t="shared" si="26"/>
        <v>3734.52</v>
      </c>
      <c r="BA10" s="38">
        <f t="shared" ref="BA10:BA14" si="30">ROUNDUP(M10*1.5%*90%,1)</f>
        <v>100.8</v>
      </c>
      <c r="BB10" s="38">
        <v>0</v>
      </c>
      <c r="BC10" s="38">
        <v>0</v>
      </c>
      <c r="BD10" s="38">
        <v>0</v>
      </c>
      <c r="BE10" s="38">
        <v>0</v>
      </c>
      <c r="BF10" s="38">
        <v>0</v>
      </c>
      <c r="BG10" s="38">
        <v>0</v>
      </c>
      <c r="BH10" s="24">
        <f t="shared" si="27"/>
        <v>3835.32</v>
      </c>
      <c r="BI10" s="38">
        <v>30</v>
      </c>
      <c r="BJ10" s="28">
        <f t="shared" si="0"/>
        <v>259.749504</v>
      </c>
      <c r="BK10" s="28">
        <f t="shared" si="1"/>
        <v>4125.069504</v>
      </c>
      <c r="BL10" s="30"/>
      <c r="BM10" s="31"/>
      <c r="BN10" s="32">
        <f t="shared" si="28"/>
        <v>2700.52</v>
      </c>
      <c r="BO10" s="31"/>
      <c r="BP10" s="32">
        <f t="shared" si="29"/>
        <v>1034</v>
      </c>
      <c r="BQ10" s="33"/>
      <c r="BR10" s="34"/>
      <c r="BS10" s="33"/>
      <c r="BT10" s="33"/>
      <c r="BU10" s="33"/>
      <c r="BV10" s="33"/>
      <c r="BW10" s="15"/>
      <c r="BX10" s="15"/>
      <c r="BY10" s="15"/>
      <c r="BZ10" s="15"/>
      <c r="CA10" s="15"/>
      <c r="CB10" s="15"/>
      <c r="CC10" s="33"/>
      <c r="CD10" s="35"/>
      <c r="CE10" s="35"/>
      <c r="CF10" s="33"/>
      <c r="CG10" s="33"/>
    </row>
    <row r="11" s="1" customFormat="1" ht="27" customHeight="1" spans="1:85">
      <c r="A11" s="15">
        <f>IF(OR(B11="正常",B11="新增"),MAX(A$1:$B10)+1,"")</f>
        <v>10</v>
      </c>
      <c r="B11" s="16" t="s">
        <v>105</v>
      </c>
      <c r="C11" s="17" t="s">
        <v>2</v>
      </c>
      <c r="D11" s="15" t="s">
        <v>127</v>
      </c>
      <c r="E11" s="18" t="s">
        <v>128</v>
      </c>
      <c r="F11" s="19" t="s">
        <v>14</v>
      </c>
      <c r="G11" s="19" t="s">
        <v>108</v>
      </c>
      <c r="H11" s="15">
        <v>202509</v>
      </c>
      <c r="I11" s="15">
        <v>202509</v>
      </c>
      <c r="J11" s="15">
        <v>202603</v>
      </c>
      <c r="K11" s="15">
        <f t="shared" si="2"/>
        <v>202603</v>
      </c>
      <c r="L11" s="15">
        <f t="shared" si="3"/>
        <v>202603</v>
      </c>
      <c r="M11" s="20">
        <v>7460</v>
      </c>
      <c r="N11" s="21">
        <v>0.16</v>
      </c>
      <c r="O11" s="20">
        <f t="shared" si="4"/>
        <v>1193.6</v>
      </c>
      <c r="P11" s="20">
        <f t="shared" si="5"/>
        <v>7460</v>
      </c>
      <c r="Q11" s="21">
        <v>0.08</v>
      </c>
      <c r="R11" s="20">
        <f t="shared" si="6"/>
        <v>596.8</v>
      </c>
      <c r="S11" s="22">
        <f t="shared" si="7"/>
        <v>1790.4</v>
      </c>
      <c r="T11" s="20">
        <v>7460</v>
      </c>
      <c r="U11" s="21">
        <v>0.09</v>
      </c>
      <c r="V11" s="23">
        <v>0</v>
      </c>
      <c r="W11" s="24">
        <f t="shared" si="8"/>
        <v>671.4</v>
      </c>
      <c r="X11" s="20">
        <f t="shared" si="9"/>
        <v>7460</v>
      </c>
      <c r="Y11" s="25">
        <v>0.02</v>
      </c>
      <c r="Z11" s="20">
        <v>0</v>
      </c>
      <c r="AA11" s="24">
        <f t="shared" si="10"/>
        <v>149.2</v>
      </c>
      <c r="AB11" s="22">
        <f t="shared" si="11"/>
        <v>820.6</v>
      </c>
      <c r="AC11" s="20">
        <v>7460</v>
      </c>
      <c r="AD11" s="25">
        <v>0.005</v>
      </c>
      <c r="AE11" s="20">
        <f t="shared" si="12"/>
        <v>37.3</v>
      </c>
      <c r="AF11" s="20">
        <f t="shared" si="13"/>
        <v>7460</v>
      </c>
      <c r="AG11" s="25">
        <v>0.005</v>
      </c>
      <c r="AH11" s="20">
        <f t="shared" si="14"/>
        <v>37.3</v>
      </c>
      <c r="AI11" s="22">
        <f t="shared" si="15"/>
        <v>74.6</v>
      </c>
      <c r="AJ11" s="20">
        <v>0</v>
      </c>
      <c r="AK11" s="21">
        <v>0</v>
      </c>
      <c r="AL11" s="22">
        <f t="shared" si="16"/>
        <v>0</v>
      </c>
      <c r="AM11" s="20">
        <v>7460</v>
      </c>
      <c r="AN11" s="25">
        <v>0.002</v>
      </c>
      <c r="AO11" s="22">
        <f t="shared" si="17"/>
        <v>14.92</v>
      </c>
      <c r="AP11" s="26">
        <f t="shared" si="18"/>
        <v>1917.22</v>
      </c>
      <c r="AQ11" s="26">
        <f t="shared" si="19"/>
        <v>783.3</v>
      </c>
      <c r="AR11" s="26">
        <f t="shared" si="20"/>
        <v>2700.52</v>
      </c>
      <c r="AS11" s="37">
        <v>7384</v>
      </c>
      <c r="AT11" s="27">
        <v>0.07</v>
      </c>
      <c r="AU11" s="24">
        <f t="shared" si="21"/>
        <v>517</v>
      </c>
      <c r="AV11" s="20">
        <f t="shared" si="22"/>
        <v>7384</v>
      </c>
      <c r="AW11" s="27">
        <f t="shared" si="23"/>
        <v>0.07</v>
      </c>
      <c r="AX11" s="24">
        <f t="shared" si="24"/>
        <v>517</v>
      </c>
      <c r="AY11" s="26">
        <f t="shared" si="25"/>
        <v>1034</v>
      </c>
      <c r="AZ11" s="26">
        <f t="shared" si="26"/>
        <v>3734.52</v>
      </c>
      <c r="BA11" s="38">
        <f t="shared" si="30"/>
        <v>100.8</v>
      </c>
      <c r="BB11" s="38">
        <v>0</v>
      </c>
      <c r="BC11" s="38">
        <v>0</v>
      </c>
      <c r="BD11" s="38">
        <v>0</v>
      </c>
      <c r="BE11" s="38">
        <v>0</v>
      </c>
      <c r="BF11" s="38">
        <v>0</v>
      </c>
      <c r="BG11" s="38">
        <v>0</v>
      </c>
      <c r="BH11" s="24">
        <f t="shared" si="27"/>
        <v>3835.32</v>
      </c>
      <c r="BI11" s="38">
        <v>30</v>
      </c>
      <c r="BJ11" s="28">
        <f t="shared" si="0"/>
        <v>259.749504</v>
      </c>
      <c r="BK11" s="28">
        <f t="shared" si="1"/>
        <v>4125.069504</v>
      </c>
      <c r="BL11" s="30"/>
      <c r="BM11" s="31"/>
      <c r="BN11" s="32">
        <f t="shared" si="28"/>
        <v>2700.52</v>
      </c>
      <c r="BO11" s="31"/>
      <c r="BP11" s="32">
        <f t="shared" si="29"/>
        <v>1034</v>
      </c>
      <c r="BQ11" s="33"/>
      <c r="BR11" s="34"/>
      <c r="BS11" s="33"/>
      <c r="BT11" s="33"/>
      <c r="BU11" s="33"/>
      <c r="BV11" s="33"/>
      <c r="BW11" s="15"/>
      <c r="BX11" s="15"/>
      <c r="BY11" s="15"/>
      <c r="BZ11" s="15"/>
      <c r="CA11" s="15"/>
      <c r="CB11" s="15"/>
      <c r="CC11" s="33"/>
      <c r="CD11" s="35"/>
      <c r="CE11" s="35"/>
      <c r="CF11" s="33"/>
      <c r="CG11" s="33"/>
    </row>
    <row r="12" s="1" customFormat="1" ht="27" customHeight="1" spans="1:85">
      <c r="A12" s="15">
        <f>IF(OR(B12="正常",B12="新增"),MAX(A$1:$B11)+1,"")</f>
        <v>11</v>
      </c>
      <c r="B12" s="16" t="s">
        <v>105</v>
      </c>
      <c r="C12" s="17" t="s">
        <v>2</v>
      </c>
      <c r="D12" s="15" t="s">
        <v>129</v>
      </c>
      <c r="E12" s="18" t="s">
        <v>130</v>
      </c>
      <c r="F12" s="19" t="s">
        <v>14</v>
      </c>
      <c r="G12" s="19" t="s">
        <v>108</v>
      </c>
      <c r="H12" s="15">
        <v>202509</v>
      </c>
      <c r="I12" s="15">
        <v>202509</v>
      </c>
      <c r="J12" s="15">
        <v>202603</v>
      </c>
      <c r="K12" s="15">
        <f t="shared" si="2"/>
        <v>202603</v>
      </c>
      <c r="L12" s="15">
        <f t="shared" si="3"/>
        <v>202603</v>
      </c>
      <c r="M12" s="20">
        <v>7460</v>
      </c>
      <c r="N12" s="21">
        <v>0.16</v>
      </c>
      <c r="O12" s="20">
        <f t="shared" si="4"/>
        <v>1193.6</v>
      </c>
      <c r="P12" s="20">
        <f t="shared" si="5"/>
        <v>7460</v>
      </c>
      <c r="Q12" s="21">
        <v>0.08</v>
      </c>
      <c r="R12" s="20">
        <f t="shared" si="6"/>
        <v>596.8</v>
      </c>
      <c r="S12" s="22">
        <f t="shared" si="7"/>
        <v>1790.4</v>
      </c>
      <c r="T12" s="20">
        <v>7460</v>
      </c>
      <c r="U12" s="21">
        <v>0.09</v>
      </c>
      <c r="V12" s="23">
        <v>0</v>
      </c>
      <c r="W12" s="24">
        <f t="shared" si="8"/>
        <v>671.4</v>
      </c>
      <c r="X12" s="20">
        <f t="shared" si="9"/>
        <v>7460</v>
      </c>
      <c r="Y12" s="25">
        <v>0.02</v>
      </c>
      <c r="Z12" s="20">
        <v>0</v>
      </c>
      <c r="AA12" s="24">
        <f t="shared" si="10"/>
        <v>149.2</v>
      </c>
      <c r="AB12" s="22">
        <f t="shared" si="11"/>
        <v>820.6</v>
      </c>
      <c r="AC12" s="20">
        <v>7460</v>
      </c>
      <c r="AD12" s="25">
        <v>0.005</v>
      </c>
      <c r="AE12" s="20">
        <f t="shared" si="12"/>
        <v>37.3</v>
      </c>
      <c r="AF12" s="20">
        <f t="shared" si="13"/>
        <v>7460</v>
      </c>
      <c r="AG12" s="25">
        <v>0.005</v>
      </c>
      <c r="AH12" s="20">
        <f t="shared" si="14"/>
        <v>37.3</v>
      </c>
      <c r="AI12" s="22">
        <f t="shared" si="15"/>
        <v>74.6</v>
      </c>
      <c r="AJ12" s="20">
        <v>0</v>
      </c>
      <c r="AK12" s="21">
        <v>0</v>
      </c>
      <c r="AL12" s="22">
        <f t="shared" si="16"/>
        <v>0</v>
      </c>
      <c r="AM12" s="20">
        <v>7460</v>
      </c>
      <c r="AN12" s="25">
        <v>0.002</v>
      </c>
      <c r="AO12" s="22">
        <f t="shared" si="17"/>
        <v>14.92</v>
      </c>
      <c r="AP12" s="26">
        <f t="shared" si="18"/>
        <v>1917.22</v>
      </c>
      <c r="AQ12" s="26">
        <f t="shared" si="19"/>
        <v>783.3</v>
      </c>
      <c r="AR12" s="26">
        <f t="shared" si="20"/>
        <v>2700.52</v>
      </c>
      <c r="AS12" s="37">
        <v>7384</v>
      </c>
      <c r="AT12" s="27">
        <v>0.07</v>
      </c>
      <c r="AU12" s="24">
        <f t="shared" si="21"/>
        <v>517</v>
      </c>
      <c r="AV12" s="20">
        <f t="shared" si="22"/>
        <v>7384</v>
      </c>
      <c r="AW12" s="27">
        <f t="shared" si="23"/>
        <v>0.07</v>
      </c>
      <c r="AX12" s="24">
        <f t="shared" si="24"/>
        <v>517</v>
      </c>
      <c r="AY12" s="26">
        <f t="shared" si="25"/>
        <v>1034</v>
      </c>
      <c r="AZ12" s="26">
        <f t="shared" si="26"/>
        <v>3734.52</v>
      </c>
      <c r="BA12" s="38">
        <f t="shared" si="30"/>
        <v>100.8</v>
      </c>
      <c r="BB12" s="38">
        <v>0</v>
      </c>
      <c r="BC12" s="38">
        <v>0</v>
      </c>
      <c r="BD12" s="38">
        <v>0</v>
      </c>
      <c r="BE12" s="38">
        <v>0</v>
      </c>
      <c r="BF12" s="38">
        <v>0</v>
      </c>
      <c r="BG12" s="38">
        <v>0</v>
      </c>
      <c r="BH12" s="24">
        <f t="shared" si="27"/>
        <v>3835.32</v>
      </c>
      <c r="BI12" s="38">
        <v>30</v>
      </c>
      <c r="BJ12" s="28">
        <f t="shared" si="0"/>
        <v>259.749504</v>
      </c>
      <c r="BK12" s="28">
        <f t="shared" si="1"/>
        <v>4125.069504</v>
      </c>
      <c r="BL12" s="30"/>
      <c r="BM12" s="31"/>
      <c r="BN12" s="32">
        <f t="shared" si="28"/>
        <v>2700.52</v>
      </c>
      <c r="BO12" s="31"/>
      <c r="BP12" s="32">
        <f t="shared" si="29"/>
        <v>1034</v>
      </c>
      <c r="BQ12" s="33"/>
      <c r="BR12" s="34"/>
      <c r="BS12" s="33"/>
      <c r="BT12" s="33"/>
      <c r="BU12" s="33"/>
      <c r="BV12" s="33"/>
      <c r="BW12" s="15"/>
      <c r="BX12" s="15"/>
      <c r="BY12" s="15"/>
      <c r="BZ12" s="15"/>
      <c r="CA12" s="15"/>
      <c r="CB12" s="15"/>
      <c r="CC12" s="33"/>
      <c r="CD12" s="35"/>
      <c r="CE12" s="35"/>
      <c r="CF12" s="33"/>
      <c r="CG12" s="33"/>
    </row>
    <row r="13" s="2" customFormat="1" ht="27" customHeight="1" spans="1:85">
      <c r="A13" s="15">
        <f>IF(OR(B13="正常",B13="新增"),MAX(A$1:$B12)+1,"")</f>
        <v>12</v>
      </c>
      <c r="B13" s="16" t="s">
        <v>105</v>
      </c>
      <c r="C13" s="17" t="s">
        <v>2</v>
      </c>
      <c r="D13" s="15" t="s">
        <v>131</v>
      </c>
      <c r="E13" s="107" t="s">
        <v>132</v>
      </c>
      <c r="F13" s="19" t="s">
        <v>14</v>
      </c>
      <c r="G13" s="19" t="s">
        <v>118</v>
      </c>
      <c r="H13" s="15">
        <v>202510</v>
      </c>
      <c r="I13" s="15">
        <v>202510</v>
      </c>
      <c r="J13" s="15">
        <v>202603</v>
      </c>
      <c r="K13" s="15">
        <f t="shared" si="2"/>
        <v>202603</v>
      </c>
      <c r="L13" s="15">
        <f t="shared" si="3"/>
        <v>202603</v>
      </c>
      <c r="M13" s="20">
        <v>7460</v>
      </c>
      <c r="N13" s="21">
        <v>0.16</v>
      </c>
      <c r="O13" s="20">
        <f t="shared" si="4"/>
        <v>1193.6</v>
      </c>
      <c r="P13" s="20">
        <f t="shared" si="5"/>
        <v>7460</v>
      </c>
      <c r="Q13" s="21">
        <v>0.08</v>
      </c>
      <c r="R13" s="20">
        <f t="shared" si="6"/>
        <v>596.8</v>
      </c>
      <c r="S13" s="22">
        <f t="shared" si="7"/>
        <v>1790.4</v>
      </c>
      <c r="T13" s="20">
        <v>7460</v>
      </c>
      <c r="U13" s="21">
        <v>0.09</v>
      </c>
      <c r="V13" s="23">
        <v>0</v>
      </c>
      <c r="W13" s="24">
        <f t="shared" si="8"/>
        <v>671.4</v>
      </c>
      <c r="X13" s="20">
        <f t="shared" si="9"/>
        <v>7460</v>
      </c>
      <c r="Y13" s="25">
        <v>0.02</v>
      </c>
      <c r="Z13" s="20">
        <v>0</v>
      </c>
      <c r="AA13" s="24">
        <f t="shared" si="10"/>
        <v>149.2</v>
      </c>
      <c r="AB13" s="22">
        <f t="shared" si="11"/>
        <v>820.6</v>
      </c>
      <c r="AC13" s="20">
        <v>7460</v>
      </c>
      <c r="AD13" s="25">
        <v>0.005</v>
      </c>
      <c r="AE13" s="20">
        <f t="shared" si="12"/>
        <v>37.3</v>
      </c>
      <c r="AF13" s="20">
        <f t="shared" si="13"/>
        <v>7460</v>
      </c>
      <c r="AG13" s="25">
        <v>0.005</v>
      </c>
      <c r="AH13" s="20">
        <f t="shared" si="14"/>
        <v>37.3</v>
      </c>
      <c r="AI13" s="22">
        <f t="shared" si="15"/>
        <v>74.6</v>
      </c>
      <c r="AJ13" s="20">
        <v>0</v>
      </c>
      <c r="AK13" s="21">
        <v>0</v>
      </c>
      <c r="AL13" s="22">
        <f t="shared" si="16"/>
        <v>0</v>
      </c>
      <c r="AM13" s="20">
        <v>7460</v>
      </c>
      <c r="AN13" s="25">
        <v>0.002</v>
      </c>
      <c r="AO13" s="22">
        <f t="shared" si="17"/>
        <v>14.92</v>
      </c>
      <c r="AP13" s="26">
        <f t="shared" si="18"/>
        <v>1917.22</v>
      </c>
      <c r="AQ13" s="26">
        <f t="shared" si="19"/>
        <v>783.3</v>
      </c>
      <c r="AR13" s="26">
        <f t="shared" si="20"/>
        <v>2700.52</v>
      </c>
      <c r="AS13" s="37">
        <v>7460</v>
      </c>
      <c r="AT13" s="27">
        <v>0.07</v>
      </c>
      <c r="AU13" s="24">
        <f t="shared" si="21"/>
        <v>522</v>
      </c>
      <c r="AV13" s="20">
        <f t="shared" si="22"/>
        <v>7460</v>
      </c>
      <c r="AW13" s="27">
        <f t="shared" si="23"/>
        <v>0.07</v>
      </c>
      <c r="AX13" s="24">
        <f t="shared" si="24"/>
        <v>522</v>
      </c>
      <c r="AY13" s="26">
        <f t="shared" si="25"/>
        <v>1044</v>
      </c>
      <c r="AZ13" s="26">
        <f t="shared" si="26"/>
        <v>3744.52</v>
      </c>
      <c r="BA13" s="38">
        <f t="shared" si="30"/>
        <v>100.8</v>
      </c>
      <c r="BB13" s="38">
        <v>0</v>
      </c>
      <c r="BC13" s="38">
        <v>0</v>
      </c>
      <c r="BD13" s="38">
        <v>0</v>
      </c>
      <c r="BE13" s="38">
        <v>0</v>
      </c>
      <c r="BF13" s="38">
        <v>0</v>
      </c>
      <c r="BG13" s="38">
        <v>0</v>
      </c>
      <c r="BH13" s="24">
        <f t="shared" si="27"/>
        <v>3845.32</v>
      </c>
      <c r="BI13" s="38">
        <v>30</v>
      </c>
      <c r="BJ13" s="28">
        <f t="shared" si="0"/>
        <v>260.421504</v>
      </c>
      <c r="BK13" s="28">
        <f t="shared" si="1"/>
        <v>4135.741504</v>
      </c>
      <c r="BL13" s="30"/>
      <c r="BM13" s="31"/>
      <c r="BN13" s="32">
        <f t="shared" si="28"/>
        <v>2700.52</v>
      </c>
      <c r="BO13" s="31"/>
      <c r="BP13" s="32">
        <f t="shared" si="29"/>
        <v>1044</v>
      </c>
      <c r="BQ13" s="33"/>
      <c r="BR13" s="34"/>
      <c r="BS13" s="33"/>
      <c r="BT13" s="33"/>
      <c r="BU13" s="33"/>
      <c r="BV13" s="33"/>
      <c r="BW13" s="15"/>
      <c r="BX13" s="15"/>
      <c r="BY13" s="15"/>
      <c r="BZ13" s="15"/>
      <c r="CA13" s="15"/>
      <c r="CB13" s="15"/>
      <c r="CC13" s="33"/>
      <c r="CD13" s="35"/>
      <c r="CE13" s="35"/>
      <c r="CF13" s="33"/>
      <c r="CG13" s="33"/>
    </row>
    <row r="14" s="2" customFormat="1" ht="27" customHeight="1" spans="1:85">
      <c r="A14" s="15">
        <f>IF(OR(B14="正常",B14="新增"),MAX(A$1:$B13)+1,"")</f>
        <v>13</v>
      </c>
      <c r="B14" s="16" t="s">
        <v>133</v>
      </c>
      <c r="C14" s="17" t="s">
        <v>2</v>
      </c>
      <c r="D14" s="15" t="s">
        <v>134</v>
      </c>
      <c r="E14" s="18" t="s">
        <v>135</v>
      </c>
      <c r="F14" s="19" t="s">
        <v>14</v>
      </c>
      <c r="G14" s="19" t="s">
        <v>111</v>
      </c>
      <c r="H14" s="15">
        <v>202603</v>
      </c>
      <c r="I14" s="15">
        <v>202603</v>
      </c>
      <c r="J14" s="15">
        <v>202603</v>
      </c>
      <c r="K14" s="15">
        <f t="shared" si="2"/>
        <v>202603</v>
      </c>
      <c r="L14" s="15">
        <f t="shared" si="3"/>
        <v>202603</v>
      </c>
      <c r="M14" s="20">
        <v>7460</v>
      </c>
      <c r="N14" s="21">
        <v>0.16</v>
      </c>
      <c r="O14" s="20">
        <f t="shared" si="4"/>
        <v>1193.6</v>
      </c>
      <c r="P14" s="20">
        <f t="shared" si="5"/>
        <v>7460</v>
      </c>
      <c r="Q14" s="21">
        <v>0.08</v>
      </c>
      <c r="R14" s="20">
        <f t="shared" si="6"/>
        <v>596.8</v>
      </c>
      <c r="S14" s="22">
        <f t="shared" si="7"/>
        <v>1790.4</v>
      </c>
      <c r="T14" s="20">
        <v>7460</v>
      </c>
      <c r="U14" s="21">
        <v>0.09</v>
      </c>
      <c r="V14" s="23">
        <v>0</v>
      </c>
      <c r="W14" s="24">
        <f t="shared" si="8"/>
        <v>671.4</v>
      </c>
      <c r="X14" s="20">
        <f t="shared" si="9"/>
        <v>7460</v>
      </c>
      <c r="Y14" s="25">
        <v>0.02</v>
      </c>
      <c r="Z14" s="20">
        <v>0</v>
      </c>
      <c r="AA14" s="24">
        <f t="shared" si="10"/>
        <v>149.2</v>
      </c>
      <c r="AB14" s="22">
        <f t="shared" si="11"/>
        <v>820.6</v>
      </c>
      <c r="AC14" s="20">
        <v>7460</v>
      </c>
      <c r="AD14" s="25">
        <v>0.005</v>
      </c>
      <c r="AE14" s="20">
        <f t="shared" si="12"/>
        <v>37.3</v>
      </c>
      <c r="AF14" s="20">
        <f t="shared" si="13"/>
        <v>7460</v>
      </c>
      <c r="AG14" s="25">
        <v>0.005</v>
      </c>
      <c r="AH14" s="20">
        <f t="shared" si="14"/>
        <v>37.3</v>
      </c>
      <c r="AI14" s="22">
        <f t="shared" si="15"/>
        <v>74.6</v>
      </c>
      <c r="AJ14" s="20">
        <v>0</v>
      </c>
      <c r="AK14" s="21">
        <v>0</v>
      </c>
      <c r="AL14" s="22">
        <f t="shared" si="16"/>
        <v>0</v>
      </c>
      <c r="AM14" s="20">
        <v>7460</v>
      </c>
      <c r="AN14" s="25">
        <v>0.002</v>
      </c>
      <c r="AO14" s="22">
        <f t="shared" si="17"/>
        <v>14.92</v>
      </c>
      <c r="AP14" s="26">
        <f t="shared" si="18"/>
        <v>1917.22</v>
      </c>
      <c r="AQ14" s="26">
        <f t="shared" si="19"/>
        <v>783.3</v>
      </c>
      <c r="AR14" s="26">
        <f t="shared" si="20"/>
        <v>2700.52</v>
      </c>
      <c r="AS14" s="37">
        <v>7460</v>
      </c>
      <c r="AT14" s="27">
        <v>0.07</v>
      </c>
      <c r="AU14" s="24">
        <f t="shared" si="21"/>
        <v>522</v>
      </c>
      <c r="AV14" s="20">
        <f t="shared" si="22"/>
        <v>7460</v>
      </c>
      <c r="AW14" s="27">
        <f t="shared" si="23"/>
        <v>0.07</v>
      </c>
      <c r="AX14" s="24">
        <f t="shared" si="24"/>
        <v>522</v>
      </c>
      <c r="AY14" s="26">
        <f t="shared" si="25"/>
        <v>1044</v>
      </c>
      <c r="AZ14" s="26">
        <f t="shared" si="26"/>
        <v>3744.52</v>
      </c>
      <c r="BA14" s="38">
        <f t="shared" si="30"/>
        <v>100.8</v>
      </c>
      <c r="BB14" s="38">
        <v>0</v>
      </c>
      <c r="BC14" s="38">
        <v>0</v>
      </c>
      <c r="BD14" s="38">
        <v>0</v>
      </c>
      <c r="BE14" s="38">
        <v>0</v>
      </c>
      <c r="BF14" s="38">
        <v>0</v>
      </c>
      <c r="BG14" s="38">
        <v>0</v>
      </c>
      <c r="BH14" s="24">
        <f t="shared" si="27"/>
        <v>3845.32</v>
      </c>
      <c r="BI14" s="38">
        <v>30</v>
      </c>
      <c r="BJ14" s="28">
        <f t="shared" si="0"/>
        <v>260.421504</v>
      </c>
      <c r="BK14" s="28">
        <f t="shared" si="1"/>
        <v>4135.741504</v>
      </c>
      <c r="BL14" s="30"/>
      <c r="BM14" s="31"/>
      <c r="BN14" s="32"/>
      <c r="BO14" s="31"/>
      <c r="BP14" s="32"/>
      <c r="BQ14" s="33"/>
      <c r="BR14" s="34"/>
      <c r="BS14" s="33"/>
      <c r="BT14" s="33"/>
      <c r="BU14" s="33"/>
      <c r="BV14" s="33"/>
      <c r="BW14" s="15"/>
      <c r="BX14" s="15"/>
      <c r="BY14" s="15"/>
      <c r="BZ14" s="15"/>
      <c r="CA14" s="15"/>
      <c r="CB14" s="15"/>
      <c r="CC14" s="33"/>
      <c r="CD14" s="35"/>
      <c r="CE14" s="35"/>
      <c r="CF14" s="33"/>
      <c r="CG14" s="33"/>
    </row>
    <row r="15" s="3" customFormat="1" ht="27" customHeight="1" spans="1:85">
      <c r="A15" s="40"/>
      <c r="B15" s="41" t="s">
        <v>136</v>
      </c>
      <c r="C15" s="42"/>
      <c r="D15" s="40"/>
      <c r="E15" s="43"/>
      <c r="F15" s="44" t="s">
        <v>14</v>
      </c>
      <c r="G15" s="44"/>
      <c r="H15" s="40"/>
      <c r="I15" s="40"/>
      <c r="J15" s="40">
        <v>202602</v>
      </c>
      <c r="K15" s="40"/>
      <c r="L15" s="40"/>
      <c r="M15" s="45"/>
      <c r="N15" s="46"/>
      <c r="O15" s="45"/>
      <c r="P15" s="45"/>
      <c r="Q15" s="46"/>
      <c r="R15" s="45"/>
      <c r="S15" s="47"/>
      <c r="T15" s="45"/>
      <c r="U15" s="46"/>
      <c r="V15" s="48"/>
      <c r="W15" s="49"/>
      <c r="X15" s="45"/>
      <c r="Y15" s="50"/>
      <c r="Z15" s="45"/>
      <c r="AA15" s="49"/>
      <c r="AB15" s="47"/>
      <c r="AC15" s="45"/>
      <c r="AD15" s="50"/>
      <c r="AE15" s="45"/>
      <c r="AF15" s="45"/>
      <c r="AG15" s="50"/>
      <c r="AH15" s="45"/>
      <c r="AI15" s="47"/>
      <c r="AJ15" s="45"/>
      <c r="AK15" s="46"/>
      <c r="AL15" s="47"/>
      <c r="AM15" s="45"/>
      <c r="AN15" s="50"/>
      <c r="AO15" s="47"/>
      <c r="AP15" s="51"/>
      <c r="AQ15" s="51"/>
      <c r="AR15" s="51"/>
      <c r="AS15" s="52"/>
      <c r="AT15" s="53"/>
      <c r="AU15" s="49"/>
      <c r="AV15" s="45"/>
      <c r="AW15" s="53"/>
      <c r="AX15" s="49"/>
      <c r="AY15" s="51"/>
      <c r="AZ15" s="51"/>
      <c r="BA15" s="54"/>
      <c r="BB15" s="54"/>
      <c r="BC15" s="54"/>
      <c r="BD15" s="54"/>
      <c r="BE15" s="54"/>
      <c r="BF15" s="54"/>
      <c r="BG15" s="54"/>
      <c r="BH15" s="49"/>
      <c r="BI15" s="54"/>
      <c r="BJ15" s="54">
        <f>76077.18*6.72%</f>
        <v>5112.386496</v>
      </c>
      <c r="BK15" s="54">
        <f t="shared" si="1"/>
        <v>5112.386496</v>
      </c>
      <c r="BL15" s="55" t="s">
        <v>137</v>
      </c>
      <c r="BM15" s="55"/>
      <c r="BN15" s="56"/>
      <c r="BO15" s="55"/>
      <c r="BP15" s="56"/>
      <c r="BQ15" s="57"/>
      <c r="BR15" s="58"/>
      <c r="BS15" s="57"/>
      <c r="BT15" s="57"/>
      <c r="BU15" s="57"/>
      <c r="BV15" s="57"/>
      <c r="BW15" s="40"/>
      <c r="BX15" s="40"/>
      <c r="BY15" s="40"/>
      <c r="BZ15" s="40"/>
      <c r="CA15" s="40"/>
      <c r="CB15" s="40"/>
      <c r="CC15" s="57"/>
      <c r="CD15" s="59"/>
      <c r="CE15" s="59"/>
      <c r="CF15" s="57"/>
      <c r="CG15" s="57"/>
    </row>
    <row r="16" s="3" customFormat="1" ht="27" customHeight="1" spans="1:85">
      <c r="A16" s="40"/>
      <c r="B16" s="41" t="s">
        <v>136</v>
      </c>
      <c r="C16" s="42"/>
      <c r="D16" s="40"/>
      <c r="E16" s="43"/>
      <c r="F16" s="44" t="s">
        <v>14</v>
      </c>
      <c r="G16" s="44"/>
      <c r="H16" s="40"/>
      <c r="I16" s="40"/>
      <c r="J16" s="40">
        <v>202601</v>
      </c>
      <c r="K16" s="40"/>
      <c r="L16" s="40"/>
      <c r="M16" s="45"/>
      <c r="N16" s="46"/>
      <c r="O16" s="45"/>
      <c r="P16" s="45"/>
      <c r="Q16" s="46"/>
      <c r="R16" s="45"/>
      <c r="S16" s="47"/>
      <c r="T16" s="45"/>
      <c r="U16" s="46"/>
      <c r="V16" s="48"/>
      <c r="W16" s="49"/>
      <c r="X16" s="45"/>
      <c r="Y16" s="50"/>
      <c r="Z16" s="45"/>
      <c r="AA16" s="49"/>
      <c r="AB16" s="47"/>
      <c r="AC16" s="45"/>
      <c r="AD16" s="50"/>
      <c r="AE16" s="45"/>
      <c r="AF16" s="45"/>
      <c r="AG16" s="50"/>
      <c r="AH16" s="45"/>
      <c r="AI16" s="47"/>
      <c r="AJ16" s="45"/>
      <c r="AK16" s="46"/>
      <c r="AL16" s="47"/>
      <c r="AM16" s="45"/>
      <c r="AN16" s="50"/>
      <c r="AO16" s="47"/>
      <c r="AP16" s="51"/>
      <c r="AQ16" s="51"/>
      <c r="AR16" s="51"/>
      <c r="AS16" s="52"/>
      <c r="AT16" s="53"/>
      <c r="AU16" s="49"/>
      <c r="AV16" s="45"/>
      <c r="AW16" s="53"/>
      <c r="AX16" s="49"/>
      <c r="AY16" s="51"/>
      <c r="AZ16" s="51"/>
      <c r="BA16" s="54"/>
      <c r="BB16" s="54"/>
      <c r="BC16" s="54"/>
      <c r="BD16" s="54"/>
      <c r="BE16" s="54"/>
      <c r="BF16" s="54"/>
      <c r="BG16" s="54"/>
      <c r="BH16" s="49"/>
      <c r="BI16" s="54"/>
      <c r="BJ16" s="54">
        <f>102240.12*6.72%</f>
        <v>6870.536064</v>
      </c>
      <c r="BK16" s="54">
        <f t="shared" si="1"/>
        <v>6870.536064</v>
      </c>
      <c r="BL16" s="55" t="s">
        <v>138</v>
      </c>
      <c r="BM16" s="55"/>
      <c r="BN16" s="56"/>
      <c r="BO16" s="55"/>
      <c r="BP16" s="56"/>
      <c r="BQ16" s="57"/>
      <c r="BR16" s="58"/>
      <c r="BS16" s="57"/>
      <c r="BT16" s="57"/>
      <c r="BU16" s="57"/>
      <c r="BV16" s="57"/>
      <c r="BW16" s="40"/>
      <c r="BX16" s="40"/>
      <c r="BY16" s="40"/>
      <c r="BZ16" s="40"/>
      <c r="CA16" s="40"/>
      <c r="CB16" s="40"/>
      <c r="CC16" s="57"/>
      <c r="CD16" s="59"/>
      <c r="CE16" s="59"/>
      <c r="CF16" s="57"/>
      <c r="CG16" s="57"/>
    </row>
    <row r="17" s="1" customFormat="1" ht="27" customHeight="1" spans="1:85">
      <c r="A17" s="15"/>
      <c r="B17" s="16"/>
      <c r="C17" s="17"/>
      <c r="D17" s="15"/>
      <c r="E17" s="18"/>
      <c r="F17" s="19"/>
      <c r="G17" s="19"/>
      <c r="H17" s="15"/>
      <c r="I17" s="15"/>
      <c r="J17" s="15"/>
      <c r="K17" s="15"/>
      <c r="L17" s="15"/>
      <c r="M17" s="20"/>
      <c r="N17" s="21"/>
      <c r="O17" s="20"/>
      <c r="P17" s="20"/>
      <c r="Q17" s="21"/>
      <c r="R17" s="20"/>
      <c r="S17" s="22"/>
      <c r="T17" s="20"/>
      <c r="U17" s="21"/>
      <c r="V17" s="23"/>
      <c r="W17" s="24"/>
      <c r="X17" s="20"/>
      <c r="Y17" s="25"/>
      <c r="Z17" s="20"/>
      <c r="AA17" s="24"/>
      <c r="AB17" s="22"/>
      <c r="AC17" s="20"/>
      <c r="AD17" s="25"/>
      <c r="AE17" s="20"/>
      <c r="AF17" s="20"/>
      <c r="AG17" s="25"/>
      <c r="AH17" s="20"/>
      <c r="AI17" s="22"/>
      <c r="AJ17" s="20"/>
      <c r="AK17" s="21"/>
      <c r="AL17" s="22"/>
      <c r="AM17" s="20"/>
      <c r="AN17" s="25"/>
      <c r="AO17" s="22"/>
      <c r="AP17" s="26"/>
      <c r="AQ17" s="26"/>
      <c r="AR17" s="26"/>
      <c r="AS17" s="20"/>
      <c r="AT17" s="27"/>
      <c r="AU17" s="24"/>
      <c r="AV17" s="20"/>
      <c r="AW17" s="27"/>
      <c r="AX17" s="24"/>
      <c r="AY17" s="26"/>
      <c r="AZ17" s="26"/>
      <c r="BA17" s="28"/>
      <c r="BB17" s="28"/>
      <c r="BC17" s="28"/>
      <c r="BD17" s="28"/>
      <c r="BE17" s="28"/>
      <c r="BF17" s="28"/>
      <c r="BG17" s="28"/>
      <c r="BH17" s="29"/>
      <c r="BI17" s="28"/>
      <c r="BJ17" s="28"/>
      <c r="BK17" s="28"/>
      <c r="BL17" s="30"/>
      <c r="BM17" s="31"/>
      <c r="BN17" s="32"/>
      <c r="BO17" s="31"/>
      <c r="BP17" s="32"/>
      <c r="BQ17" s="33"/>
      <c r="BR17" s="34"/>
      <c r="BS17" s="33"/>
      <c r="BT17" s="33"/>
      <c r="BU17" s="33"/>
      <c r="BV17" s="33"/>
      <c r="BW17" s="15"/>
      <c r="BX17" s="15"/>
      <c r="BY17" s="15"/>
      <c r="BZ17" s="15"/>
      <c r="CA17" s="15"/>
      <c r="CB17" s="15"/>
      <c r="CC17" s="33"/>
      <c r="CD17" s="35"/>
      <c r="CE17" s="35"/>
      <c r="CF17" s="33"/>
      <c r="CG17" s="33"/>
    </row>
    <row r="18" customHeight="1" spans="1:85">
      <c r="A18" s="60" t="s">
        <v>11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1"/>
      <c r="N18" s="61"/>
      <c r="O18" s="61">
        <f>SUM(O2:O17)</f>
        <v>18737.6</v>
      </c>
      <c r="P18" s="61"/>
      <c r="Q18" s="61"/>
      <c r="R18" s="61">
        <f>SUM(R2:R17)</f>
        <v>9368.8</v>
      </c>
      <c r="S18" s="61">
        <f>SUM(S2:S17)</f>
        <v>28106.4</v>
      </c>
      <c r="T18" s="61"/>
      <c r="U18" s="61"/>
      <c r="V18" s="61">
        <f>SUM(V2:V17)</f>
        <v>0</v>
      </c>
      <c r="W18" s="61">
        <f>SUM(W2:W17)</f>
        <v>10471.03</v>
      </c>
      <c r="X18" s="61"/>
      <c r="Y18" s="61"/>
      <c r="Z18" s="61">
        <f>SUM(Z2:Z17)</f>
        <v>0</v>
      </c>
      <c r="AA18" s="61">
        <f>SUM(AA2:AA17)</f>
        <v>2356.68</v>
      </c>
      <c r="AB18" s="61">
        <f>SUM(AB2:AB17)</f>
        <v>12827.71</v>
      </c>
      <c r="AC18" s="61"/>
      <c r="AD18" s="61"/>
      <c r="AE18" s="61">
        <f>SUM(AE2:AE17)</f>
        <v>586</v>
      </c>
      <c r="AF18" s="61">
        <f>SUM(AF2:AF17)</f>
        <v>115100</v>
      </c>
      <c r="AG18" s="61"/>
      <c r="AH18" s="61">
        <f>SUM(AH2:AH17)</f>
        <v>565</v>
      </c>
      <c r="AI18" s="61">
        <f>SUM(AI2:AI17)</f>
        <v>1151</v>
      </c>
      <c r="AJ18" s="61"/>
      <c r="AK18" s="61"/>
      <c r="AL18" s="61">
        <f>SUM(AL2:AL17)</f>
        <v>0</v>
      </c>
      <c r="AM18" s="61"/>
      <c r="AN18" s="61"/>
      <c r="AO18" s="61">
        <f t="shared" ref="AO18:BK18" si="31">SUM(AO2:AO17)</f>
        <v>237.2</v>
      </c>
      <c r="AP18" s="61">
        <f t="shared" si="31"/>
        <v>30031.83</v>
      </c>
      <c r="AQ18" s="61">
        <f t="shared" si="31"/>
        <v>12290.48</v>
      </c>
      <c r="AR18" s="61">
        <f t="shared" si="31"/>
        <v>42322.31</v>
      </c>
      <c r="AS18" s="61">
        <f t="shared" si="31"/>
        <v>135992</v>
      </c>
      <c r="AT18" s="61">
        <f t="shared" si="31"/>
        <v>0.96</v>
      </c>
      <c r="AU18" s="61">
        <f t="shared" si="31"/>
        <v>10770</v>
      </c>
      <c r="AV18" s="61">
        <f t="shared" si="31"/>
        <v>135992</v>
      </c>
      <c r="AW18" s="61">
        <f t="shared" si="31"/>
        <v>0.96</v>
      </c>
      <c r="AX18" s="61">
        <f t="shared" si="31"/>
        <v>10770</v>
      </c>
      <c r="AY18" s="61">
        <f t="shared" si="31"/>
        <v>21540</v>
      </c>
      <c r="AZ18" s="61">
        <f t="shared" si="31"/>
        <v>63862.31</v>
      </c>
      <c r="BA18" s="61">
        <f t="shared" si="31"/>
        <v>1532.89</v>
      </c>
      <c r="BB18" s="61">
        <f t="shared" si="31"/>
        <v>0</v>
      </c>
      <c r="BC18" s="61">
        <f t="shared" si="31"/>
        <v>0</v>
      </c>
      <c r="BD18" s="61">
        <f t="shared" si="31"/>
        <v>0</v>
      </c>
      <c r="BE18" s="61">
        <f t="shared" si="31"/>
        <v>0</v>
      </c>
      <c r="BF18" s="61">
        <f t="shared" si="31"/>
        <v>0</v>
      </c>
      <c r="BG18" s="61">
        <f t="shared" si="31"/>
        <v>0</v>
      </c>
      <c r="BH18" s="61">
        <f t="shared" si="31"/>
        <v>65395.2</v>
      </c>
      <c r="BI18" s="61">
        <f t="shared" si="31"/>
        <v>390</v>
      </c>
      <c r="BJ18" s="61">
        <f t="shared" si="31"/>
        <v>16403.688</v>
      </c>
      <c r="BK18" s="61">
        <f t="shared" si="31"/>
        <v>82188.888</v>
      </c>
      <c r="BL18" s="30"/>
      <c r="BM18" s="61"/>
      <c r="BN18" s="61">
        <f>SUM(BN2:BN17)</f>
        <v>39621.79</v>
      </c>
      <c r="BO18" s="61"/>
      <c r="BP18" s="61"/>
      <c r="BQ18" s="61"/>
      <c r="BR18" s="61"/>
      <c r="BS18" s="61"/>
      <c r="BT18" s="61"/>
      <c r="BU18" s="61"/>
      <c r="BV18" s="61"/>
      <c r="BW18" s="61" t="e">
        <f>SUM(#REF!)</f>
        <v>#REF!</v>
      </c>
      <c r="BX18" s="61" t="e">
        <f>SUM(#REF!)</f>
        <v>#REF!</v>
      </c>
      <c r="BY18" s="61" t="e">
        <f>SUM(#REF!)</f>
        <v>#REF!</v>
      </c>
      <c r="BZ18" s="61" t="e">
        <f>SUM(#REF!)</f>
        <v>#REF!</v>
      </c>
      <c r="CA18" s="61" t="e">
        <f>SUM(#REF!)</f>
        <v>#REF!</v>
      </c>
      <c r="CB18" s="61" t="e">
        <f>SUM(#REF!)</f>
        <v>#REF!</v>
      </c>
      <c r="CC18" s="61"/>
      <c r="CD18" s="61"/>
      <c r="CE18" s="61"/>
      <c r="CF18" s="61" t="e">
        <f>SUM(#REF!)</f>
        <v>#REF!</v>
      </c>
      <c r="CG18" s="61" t="e">
        <f>SUM(#REF!)</f>
        <v>#REF!</v>
      </c>
    </row>
    <row r="19" customHeight="1" spans="1:85">
      <c r="A19" s="62"/>
      <c r="B19" s="62"/>
      <c r="C19" s="62"/>
      <c r="D19" s="62"/>
      <c r="E19" s="62"/>
      <c r="F19" s="62"/>
      <c r="G19" s="62"/>
      <c r="H19" s="63"/>
      <c r="I19" s="62"/>
      <c r="J19" s="62"/>
      <c r="K19" s="62"/>
      <c r="L19" s="62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4"/>
      <c r="CF19" s="64"/>
      <c r="CG19" s="64"/>
    </row>
    <row r="20" ht="54" customHeight="1" spans="1:85">
      <c r="A20" s="62"/>
      <c r="B20" s="62"/>
      <c r="C20" s="65"/>
      <c r="D20" s="65"/>
      <c r="E20" s="65"/>
      <c r="F20" s="65"/>
      <c r="G20" s="65"/>
      <c r="H20" s="65"/>
      <c r="I20" s="62"/>
      <c r="J20" s="62"/>
      <c r="K20" s="62"/>
      <c r="L20" s="62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4"/>
      <c r="CF20" s="64"/>
      <c r="CG20" s="64"/>
    </row>
    <row r="21" customHeight="1" spans="1:85">
      <c r="B21" s="33" t="s">
        <v>139</v>
      </c>
      <c r="C21" s="66"/>
      <c r="D21" s="67"/>
      <c r="E21" s="66"/>
      <c r="F21" s="66"/>
      <c r="G21" s="66"/>
      <c r="H21" s="68"/>
      <c r="I21" s="66"/>
      <c r="J21" s="66"/>
      <c r="AR21" s="69"/>
      <c r="AU21" s="69"/>
    </row>
    <row r="22" customHeight="1" spans="1:85">
      <c r="B22" s="33" t="s">
        <v>24</v>
      </c>
      <c r="C22" s="66" t="s">
        <v>140</v>
      </c>
      <c r="D22" s="67" t="s">
        <v>27</v>
      </c>
      <c r="E22" s="66" t="s">
        <v>141</v>
      </c>
      <c r="F22" s="66" t="s">
        <v>4</v>
      </c>
      <c r="G22" s="66" t="s">
        <v>30</v>
      </c>
      <c r="H22" s="66" t="s">
        <v>142</v>
      </c>
      <c r="I22" s="66" t="s">
        <v>143</v>
      </c>
      <c r="J22" s="66" t="s">
        <v>12</v>
      </c>
    </row>
    <row r="23" customHeight="1" spans="1:85">
      <c r="B23" s="33">
        <v>1</v>
      </c>
      <c r="C23" s="17" t="s">
        <v>2</v>
      </c>
      <c r="D23" s="15" t="s">
        <v>134</v>
      </c>
      <c r="E23" s="18" t="s">
        <v>135</v>
      </c>
      <c r="F23" s="19" t="s">
        <v>14</v>
      </c>
      <c r="G23" s="19" t="s">
        <v>111</v>
      </c>
      <c r="H23" s="15">
        <v>202603</v>
      </c>
      <c r="I23" s="15">
        <v>202603</v>
      </c>
      <c r="J23" s="66"/>
    </row>
    <row r="24" customHeight="1" spans="1:85">
      <c r="B24" s="33">
        <v>2</v>
      </c>
      <c r="C24" s="17"/>
      <c r="D24" s="15"/>
      <c r="E24" s="18"/>
      <c r="F24" s="19"/>
      <c r="G24" s="19"/>
      <c r="H24" s="15"/>
      <c r="I24" s="15"/>
      <c r="J24" s="66"/>
    </row>
    <row r="25" customHeight="1" spans="1:85">
      <c r="B25" s="33">
        <v>3</v>
      </c>
      <c r="C25" s="17"/>
      <c r="D25" s="15"/>
      <c r="E25" s="18"/>
      <c r="F25" s="19"/>
      <c r="G25" s="19"/>
      <c r="H25" s="15"/>
      <c r="I25" s="15"/>
      <c r="J25" s="66"/>
    </row>
    <row r="26" customHeight="1" spans="1:85">
      <c r="B26" s="33">
        <v>4</v>
      </c>
      <c r="C26" s="17"/>
      <c r="D26" s="15"/>
      <c r="E26" s="18"/>
      <c r="F26" s="19"/>
      <c r="G26" s="19"/>
      <c r="H26" s="15"/>
      <c r="I26" s="15"/>
      <c r="J26" s="66"/>
    </row>
    <row r="27" customHeight="1" spans="1:85">
      <c r="B27" s="33">
        <v>5</v>
      </c>
      <c r="C27" s="17"/>
      <c r="D27" s="15"/>
      <c r="E27" s="18"/>
      <c r="F27" s="19"/>
      <c r="G27" s="19"/>
      <c r="H27" s="15"/>
      <c r="I27" s="15"/>
      <c r="J27" s="66"/>
    </row>
    <row r="28" customHeight="1" spans="1:85">
      <c r="B28" s="33">
        <v>6</v>
      </c>
      <c r="C28" s="17"/>
      <c r="D28" s="15"/>
      <c r="E28" s="18"/>
      <c r="F28" s="19"/>
      <c r="G28" s="70"/>
      <c r="H28" s="15"/>
      <c r="I28" s="15"/>
      <c r="J28" s="66"/>
    </row>
    <row r="29" customHeight="1" spans="1:85">
      <c r="B29" s="33">
        <v>7</v>
      </c>
      <c r="C29" s="17"/>
      <c r="D29" s="15"/>
      <c r="E29" s="18"/>
      <c r="F29" s="19"/>
      <c r="G29" s="70"/>
      <c r="H29" s="15"/>
      <c r="I29" s="15"/>
      <c r="J29" s="66"/>
    </row>
    <row r="30" customHeight="1" spans="1:85">
      <c r="B30" s="33">
        <v>8</v>
      </c>
      <c r="C30" s="17"/>
      <c r="D30" s="15"/>
      <c r="E30" s="18"/>
      <c r="F30" s="19"/>
      <c r="G30" s="70"/>
      <c r="H30" s="15"/>
      <c r="I30" s="15"/>
      <c r="J30" s="66"/>
    </row>
    <row r="31" customHeight="1" spans="1:85">
      <c r="B31" s="33">
        <v>9</v>
      </c>
      <c r="C31" s="17"/>
      <c r="D31" s="15"/>
      <c r="E31" s="18"/>
      <c r="F31" s="19"/>
      <c r="G31" s="70"/>
      <c r="H31" s="15"/>
      <c r="I31" s="15"/>
      <c r="J31" s="66"/>
    </row>
    <row r="32" customHeight="1" spans="1:85">
      <c r="B32" s="33">
        <v>10</v>
      </c>
      <c r="C32" s="17"/>
      <c r="D32" s="15"/>
      <c r="E32" s="18"/>
      <c r="F32" s="19"/>
      <c r="G32" s="70"/>
      <c r="H32" s="15"/>
      <c r="I32" s="15"/>
      <c r="J32" s="66"/>
    </row>
    <row r="33" customHeight="1" spans="2:10">
      <c r="B33" s="33">
        <v>11</v>
      </c>
      <c r="C33" s="17"/>
      <c r="D33" s="15"/>
      <c r="E33" s="18"/>
      <c r="F33" s="19"/>
      <c r="G33" s="70"/>
      <c r="H33" s="15"/>
      <c r="I33" s="15"/>
      <c r="J33" s="66"/>
    </row>
    <row r="34" customHeight="1" spans="2:10">
      <c r="B34" s="33" t="s">
        <v>144</v>
      </c>
      <c r="C34" s="66"/>
      <c r="D34" s="67"/>
      <c r="E34" s="66"/>
      <c r="F34" s="66"/>
      <c r="G34" s="66"/>
      <c r="H34" s="66"/>
      <c r="I34" s="66"/>
      <c r="J34" s="66"/>
    </row>
    <row r="35" customHeight="1" spans="2:10">
      <c r="B35" s="33" t="s">
        <v>24</v>
      </c>
      <c r="C35" s="66" t="s">
        <v>140</v>
      </c>
      <c r="D35" s="67" t="s">
        <v>27</v>
      </c>
      <c r="E35" s="66" t="s">
        <v>141</v>
      </c>
      <c r="F35" s="66" t="s">
        <v>4</v>
      </c>
      <c r="G35" s="66" t="s">
        <v>30</v>
      </c>
      <c r="H35" s="66" t="s">
        <v>145</v>
      </c>
      <c r="I35" s="66" t="s">
        <v>146</v>
      </c>
      <c r="J35" s="66" t="s">
        <v>147</v>
      </c>
    </row>
    <row r="36" customHeight="1" spans="2:10">
      <c r="B36" s="33">
        <v>1</v>
      </c>
      <c r="C36" s="17" t="s">
        <v>2</v>
      </c>
      <c r="D36" s="15" t="s">
        <v>148</v>
      </c>
      <c r="E36" s="18" t="s">
        <v>149</v>
      </c>
      <c r="F36" s="19" t="s">
        <v>14</v>
      </c>
      <c r="G36" s="19" t="s">
        <v>111</v>
      </c>
      <c r="H36" s="15">
        <v>20260228</v>
      </c>
      <c r="I36" s="15">
        <v>20260228</v>
      </c>
      <c r="J36" s="40"/>
    </row>
    <row r="37" customHeight="1" spans="2:10">
      <c r="B37" s="33">
        <v>2</v>
      </c>
      <c r="C37" s="17"/>
      <c r="D37" s="15"/>
      <c r="E37" s="18"/>
      <c r="F37" s="19"/>
      <c r="G37" s="19"/>
      <c r="H37" s="15"/>
      <c r="I37" s="15"/>
      <c r="J37" s="40"/>
    </row>
    <row r="38" customHeight="1" spans="2:10">
      <c r="B38" s="33">
        <v>3</v>
      </c>
      <c r="C38" s="17"/>
      <c r="D38" s="15"/>
      <c r="E38" s="18"/>
      <c r="F38" s="19"/>
      <c r="G38" s="19"/>
      <c r="H38" s="15"/>
      <c r="I38" s="15"/>
      <c r="J38" s="40"/>
    </row>
    <row r="39" customHeight="1" spans="2:10">
      <c r="B39" s="33">
        <v>4</v>
      </c>
      <c r="C39" s="17"/>
      <c r="D39" s="15"/>
      <c r="E39" s="18"/>
      <c r="F39" s="19"/>
      <c r="G39" s="19"/>
      <c r="H39" s="71"/>
      <c r="I39" s="71"/>
      <c r="J39" s="40"/>
    </row>
    <row r="40" customHeight="1" spans="2:10">
      <c r="B40" s="33">
        <v>5</v>
      </c>
      <c r="C40" s="17"/>
      <c r="D40" s="15"/>
      <c r="E40" s="18"/>
      <c r="F40" s="19"/>
      <c r="G40" s="70"/>
      <c r="H40" s="15"/>
      <c r="I40" s="15"/>
      <c r="J40" s="40"/>
    </row>
    <row r="41" customHeight="1" spans="2:10">
      <c r="B41" s="33">
        <v>5</v>
      </c>
      <c r="C41" s="17"/>
      <c r="D41" s="15"/>
      <c r="E41" s="18"/>
      <c r="F41" s="19"/>
      <c r="G41" s="70"/>
      <c r="H41" s="15"/>
      <c r="I41" s="15"/>
      <c r="J41" s="40"/>
    </row>
  </sheetData>
  <protectedRanges>
    <protectedRange sqref="N1 N21:N58979" name="区域3"/>
  </protectedRanges>
  <mergeCells count="1">
    <mergeCell ref="C20:H20"/>
  </mergeCells>
  <dataValidations count="3">
    <dataValidation type="list" allowBlank="1" showInputMessage="1" showErrorMessage="1" sqref="B2:B17">
      <formula1>"正常,新增,补缴,退费,补收"</formula1>
    </dataValidation>
    <dataValidation allowBlank="1" showInputMessage="1" showErrorMessage="1" sqref="G2:G17 G23:G27 G36:G39"/>
    <dataValidation type="list" allowBlank="1" showInputMessage="1" showErrorMessage="1" sqref="H21:H22 H34:H35">
      <formula1>"已参保,派单增员,派单减员,派单补缴,费用调整"</formula1>
    </dataValidation>
  </dataValidations>
  <pageMargins left="0.699305555555556" right="0.699305555555556" top="0.75" bottom="0.75" header="0.3" footer="0.3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5" master="" otherUserPermission="visible"/>
  <rangeList sheetStid="6" master="" otherUserPermission="visible">
    <arrUserId title="区域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付款通知书</vt:lpstr>
      <vt:lpstr>付款明细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薛小妹</dc:creator>
  <cp:lastModifiedBy>-</cp:lastModifiedBy>
  <dcterms:created xsi:type="dcterms:W3CDTF">2015-06-05T18:19:00Z</dcterms:created>
  <cp:lastPrinted>2021-06-09T03:42:00Z</cp:lastPrinted>
  <dcterms:modified xsi:type="dcterms:W3CDTF">2026-03-11T04:05:04Z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2052-12.1.0.23539</vt:lpwstr>
  </property>
  <property fmtid="{D5CDD505-2E9C-101B-9397-08002B2CF9AE}" pid="3" name="KSOReadingLayout">
    <vt:bool>true</vt:bool>
  </property>
  <property fmtid="{D5CDD505-2E9C-101B-9397-08002B2CF9AE}" pid="4" name="ICV">
    <vt:lpwstr>C3264AC516C64A548F007690E06692D7_13</vt:lpwstr>
  </property>
</Properties>
</file>
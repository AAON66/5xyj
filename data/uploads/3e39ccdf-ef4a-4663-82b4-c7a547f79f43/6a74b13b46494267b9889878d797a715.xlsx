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activeTab="1"/>
  </bookViews>
  <sheets>
    <sheet name="付款通知书" sheetId="5" r:id="rId1"/>
    <sheet name="付款明细" sheetId="6" r:id="rId2"/>
  </sheets>
  <definedNames>
    <definedName name="_xlnm._FilterDatabase" localSheetId="1" hidden="1">付款明细!$A$1:$DG$3</definedName>
    <definedName name="rngAction">#REF!</definedName>
    <definedName name="rngBlockFactor">#REF!</definedName>
    <definedName name="rngCIName">#REF!</definedName>
    <definedName name="rngCINameHidden">#REF!</definedName>
    <definedName name="rngDataInputCIName">#REF!</definedName>
    <definedName name="rngErrorThreshold">#REF!</definedName>
    <definedName name="rngFileNameHidden">#REF!</definedName>
    <definedName name="rngHTTPPort">#REF!</definedName>
    <definedName name="rngLanguageCD">#REF!</definedName>
    <definedName name="rngMachineName">#REF!</definedName>
    <definedName name="rngNode">#REF!</definedName>
    <definedName name="rngPasswordHidden">#REF!</definedName>
    <definedName name="rngPortal">#REF!</definedName>
    <definedName name="rngProtocol">#REF!</definedName>
    <definedName name="rngPSSiteName">#REF!</definedName>
    <definedName name="rngResHeaders">#REF!</definedName>
    <definedName name="rngURL">#REF!</definedName>
    <definedName name="rngUserIDHidden">#REF!</definedName>
    <definedName name="rngXmlConst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<sst xmlns="http://schemas.openxmlformats.org/spreadsheetml/2006/main" count="149" uniqueCount="124">
  <si>
    <t>付款通知书</t>
  </si>
  <si>
    <t>付款单位:</t>
  </si>
  <si>
    <t>零一裂变（深圳）科技有限公司</t>
  </si>
  <si>
    <t>账单月</t>
  </si>
  <si>
    <t>缴纳地</t>
  </si>
  <si>
    <t>社保小计</t>
  </si>
  <si>
    <t>公积金小计</t>
  </si>
  <si>
    <t>残障金小计</t>
  </si>
  <si>
    <t>其他</t>
  </si>
  <si>
    <t>服务费</t>
  </si>
  <si>
    <t>全额税费</t>
  </si>
  <si>
    <t>合计</t>
  </si>
  <si>
    <t>备注</t>
  </si>
  <si>
    <t>合作产品</t>
  </si>
  <si>
    <t>上海</t>
  </si>
  <si>
    <t>人事外包</t>
  </si>
  <si>
    <t>历史结余</t>
  </si>
  <si>
    <t>汇入公司名称：深圳市万泉河人力资源有限公司</t>
  </si>
  <si>
    <t>开户行：中国银行深圳金地支行</t>
  </si>
  <si>
    <t>帐    号：745857952481</t>
  </si>
  <si>
    <t>社保顾问：薛小妹</t>
  </si>
  <si>
    <t>联系电话：0755-33037777-885</t>
  </si>
  <si>
    <r>
      <rPr>
        <sz val="11"/>
        <rFont val="微软雅黑"/>
        <charset val="134"/>
      </rPr>
      <t>特别说明： 
        1、请以</t>
    </r>
    <r>
      <rPr>
        <sz val="11"/>
        <color rgb="FFFF0000"/>
        <rFont val="微软雅黑"/>
        <charset val="134"/>
      </rPr>
      <t>零一裂变（深圳）科技有限公司</t>
    </r>
    <r>
      <rPr>
        <sz val="11"/>
        <rFont val="微软雅黑"/>
        <charset val="134"/>
      </rPr>
      <t xml:space="preserve">公账付款至我司，我司不接受其他公司代支付，亦不接受个人账户打款。
        2、请在首次款项支付当月向我司顾问提供准确的开票信息，逾期不予开具发票；次月起，发票类型、发票税号、发票寄送信息等相关开票信息如有变更，请在当月款项支付前告知我司顾问。
</t>
    </r>
    <r>
      <rPr>
        <sz val="11"/>
        <color theme="1"/>
        <rFont val="微软雅黑"/>
        <charset val="134"/>
      </rPr>
      <t xml:space="preserve">        3、开票抬头为：</t>
    </r>
    <r>
      <rPr>
        <sz val="11"/>
        <color rgb="FFFF0000"/>
        <rFont val="微软雅黑"/>
        <charset val="134"/>
      </rPr>
      <t>零一裂变（深圳）科技有限公司</t>
    </r>
    <r>
      <rPr>
        <sz val="11"/>
        <color theme="1"/>
        <rFont val="微软雅黑"/>
        <charset val="134"/>
      </rPr>
      <t>，如有疑义请在汇款前联系我司顾问，款项支付后开票抬头无法变更。</t>
    </r>
  </si>
  <si>
    <t>序号</t>
  </si>
  <si>
    <t>状态</t>
  </si>
  <si>
    <t>客户名称</t>
  </si>
  <si>
    <t>姓名</t>
  </si>
  <si>
    <t>身份证号</t>
  </si>
  <si>
    <t>参保地</t>
  </si>
  <si>
    <t>户籍性质</t>
  </si>
  <si>
    <t>社保起做时间</t>
  </si>
  <si>
    <t>公积金起做时间</t>
  </si>
  <si>
    <t>帐单年月</t>
  </si>
  <si>
    <t>社保费用所属月（缴纳月）</t>
  </si>
  <si>
    <t>公积金费用所属月（缴纳月）</t>
  </si>
  <si>
    <t>养老企业基数</t>
  </si>
  <si>
    <t>养老企业比例</t>
  </si>
  <si>
    <t>养老企业汇缴</t>
  </si>
  <si>
    <t>养老个人基数</t>
  </si>
  <si>
    <t>养老个人比例</t>
  </si>
  <si>
    <t>养老个人汇缴</t>
  </si>
  <si>
    <t>养老合计</t>
  </si>
  <si>
    <t>医疗企业基数</t>
  </si>
  <si>
    <t>医疗企业比例</t>
  </si>
  <si>
    <t>医疗企业大病</t>
  </si>
  <si>
    <t>医疗企业汇缴</t>
  </si>
  <si>
    <t>医疗个人基数</t>
  </si>
  <si>
    <t>医疗个人比例</t>
  </si>
  <si>
    <t>医疗个人大病</t>
  </si>
  <si>
    <t>医疗个人汇缴</t>
  </si>
  <si>
    <t>医疗合计</t>
  </si>
  <si>
    <t>失业企业基数</t>
  </si>
  <si>
    <t>失业企业比例</t>
  </si>
  <si>
    <t>失业单位汇缴</t>
  </si>
  <si>
    <t>失业个人基数</t>
  </si>
  <si>
    <t>失业个人比例</t>
  </si>
  <si>
    <t>失业个人汇缴</t>
  </si>
  <si>
    <t>失业合计</t>
  </si>
  <si>
    <t>生育企业基数</t>
  </si>
  <si>
    <t>生育企业比例</t>
  </si>
  <si>
    <t>生育企业汇缴</t>
  </si>
  <si>
    <t>工伤企业基数</t>
  </si>
  <si>
    <t>工伤企业比例</t>
  </si>
  <si>
    <t>工伤企业汇缴</t>
  </si>
  <si>
    <t>单位社保</t>
  </si>
  <si>
    <t>个人社保</t>
  </si>
  <si>
    <t>社保合计</t>
  </si>
  <si>
    <t>公积金企业基数</t>
  </si>
  <si>
    <t>公积金企业比例</t>
  </si>
  <si>
    <t>公积金企业汇缴</t>
  </si>
  <si>
    <t>公积金个人基数</t>
  </si>
  <si>
    <t>公积金个人比例</t>
  </si>
  <si>
    <t>公积金个人汇缴</t>
  </si>
  <si>
    <t>公积金合计</t>
  </si>
  <si>
    <t>社保公积金小计</t>
  </si>
  <si>
    <t>残保金企业缴纳</t>
  </si>
  <si>
    <t>滞纳金</t>
  </si>
  <si>
    <t>档案费</t>
  </si>
  <si>
    <t>制卡费</t>
  </si>
  <si>
    <t>工会费</t>
  </si>
  <si>
    <t>采暖费</t>
  </si>
  <si>
    <t>其它费用</t>
  </si>
  <si>
    <t>小计（不含服务费）</t>
  </si>
  <si>
    <t>社保</t>
  </si>
  <si>
    <t>社保差额</t>
  </si>
  <si>
    <t>公积金</t>
  </si>
  <si>
    <t>公积金差额</t>
  </si>
  <si>
    <t>原因</t>
  </si>
  <si>
    <t>社保编号</t>
  </si>
  <si>
    <t>公积金编号</t>
  </si>
  <si>
    <t>医保个账</t>
  </si>
  <si>
    <t>住院基本医疗</t>
  </si>
  <si>
    <t>住院补充医疗</t>
  </si>
  <si>
    <t>门诊基本医疗</t>
  </si>
  <si>
    <t>医保个账单位金额</t>
  </si>
  <si>
    <t>医保个账个人金额</t>
  </si>
  <si>
    <t>住院基本医疗单位金额</t>
  </si>
  <si>
    <t>住院补充医疗单位金额</t>
  </si>
  <si>
    <t>门诊医疗单位金额</t>
  </si>
  <si>
    <t>门诊医疗个人金额</t>
  </si>
  <si>
    <t>补充公积金
基数</t>
  </si>
  <si>
    <t>补充公积金
单位比例</t>
  </si>
  <si>
    <t>补充公积金
个人比例</t>
  </si>
  <si>
    <t>补充公积
金单位金额</t>
  </si>
  <si>
    <t>补充公积金
个人金额</t>
  </si>
  <si>
    <t>正常</t>
  </si>
  <si>
    <t>黄小雨</t>
  </si>
  <si>
    <t>430603199307073021</t>
  </si>
  <si>
    <t>外地农村</t>
  </si>
  <si>
    <t>沈青漪</t>
  </si>
  <si>
    <t>310105199001152024</t>
  </si>
  <si>
    <t>本地城镇</t>
  </si>
  <si>
    <t>补收</t>
  </si>
  <si>
    <t>补收2月账单的全额税费</t>
  </si>
  <si>
    <t>补收1月账单的全额税费</t>
  </si>
  <si>
    <t>增员</t>
  </si>
  <si>
    <t>公司全称</t>
  </si>
  <si>
    <t>身份证号码</t>
  </si>
  <si>
    <t>社保起缴时间</t>
  </si>
  <si>
    <t>公积金起缴时间</t>
  </si>
  <si>
    <t>减员</t>
  </si>
  <si>
    <t>社保停缴时间</t>
  </si>
  <si>
    <t>公积金停缴时间</t>
  </si>
  <si>
    <t>离职原因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</si>
</sst>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7804]yyyy/m/d;@"/>
    <numFmt numFmtId="177" formatCode="0_);[Red]\(0\)"/>
    <numFmt numFmtId="178" formatCode="0.00_ "/>
    <numFmt numFmtId="179" formatCode="0.00_);[Red]\(0.00\)"/>
  </numFmts>
  <fonts count="40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9"/>
      <color rgb="FFFF0000"/>
      <name val="宋体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name val="微软雅黑"/>
      <charset val="134"/>
    </font>
    <font>
      <sz val="11"/>
      <color indexed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0"/>
      <name val="Arial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3" tint="0.39985351115451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6" borderId="24" applyNumberFormat="0" applyAlignment="0" applyProtection="0">
      <alignment vertical="center"/>
    </xf>
    <xf numFmtId="0" fontId="26" fillId="17" borderId="25" applyNumberFormat="0" applyAlignment="0" applyProtection="0">
      <alignment vertical="center"/>
    </xf>
    <xf numFmtId="0" fontId="27" fillId="17" borderId="24" applyNumberFormat="0" applyAlignment="0" applyProtection="0">
      <alignment vertical="center"/>
    </xf>
    <xf numFmtId="0" fontId="28" fillId="18" borderId="26" applyNumberFormat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36" fillId="0" borderId="0"/>
    <xf numFmtId="176" fontId="36" fillId="0" borderId="0"/>
    <xf numFmtId="176" fontId="0" fillId="0" borderId="0"/>
    <xf numFmtId="176" fontId="36" fillId="0" borderId="0"/>
    <xf numFmtId="0" fontId="1" fillId="0" borderId="0">
      <alignment horizontal="justify" vertical="justify" textRotation="127" wrapText="1"/>
      <protection hidden="1"/>
    </xf>
    <xf numFmtId="0" fontId="1" fillId="0" borderId="0">
      <alignment horizontal="justify" vertical="justify" textRotation="127" wrapText="1"/>
      <protection hidden="1"/>
    </xf>
    <xf numFmtId="176" fontId="1" fillId="0" borderId="0"/>
    <xf numFmtId="176" fontId="1" fillId="0" borderId="0"/>
    <xf numFmtId="176" fontId="1" fillId="0" borderId="0"/>
    <xf numFmtId="176" fontId="1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</cellStyleXfs>
  <cellXfs count="100">
    <xf numFmtId="0" fontId="0" fillId="0" borderId="0" xfId="0"/>
    <xf numFmtId="0" fontId="1" fillId="0" borderId="0" xfId="54" applyAlignment="1" applyProtection="1">
      <alignment vertical="center"/>
    </xf>
    <xf numFmtId="0" fontId="2" fillId="0" borderId="0" xfId="54" applyFont="1" applyAlignment="1" applyProtection="1">
      <alignment vertical="center"/>
    </xf>
    <xf numFmtId="0" fontId="3" fillId="0" borderId="1" xfId="54" applyFont="1" applyBorder="1" applyAlignment="1" applyProtection="1">
      <alignment horizontal="center" vertical="center" wrapText="1"/>
    </xf>
    <xf numFmtId="0" fontId="3" fillId="2" borderId="1" xfId="54" applyFont="1" applyFill="1" applyBorder="1" applyAlignment="1" applyProtection="1">
      <alignment horizontal="center" vertical="center" wrapText="1"/>
    </xf>
    <xf numFmtId="0" fontId="3" fillId="3" borderId="1" xfId="54" applyFont="1" applyFill="1" applyBorder="1" applyAlignment="1" applyProtection="1">
      <alignment horizontal="center" vertical="center" wrapText="1"/>
    </xf>
    <xf numFmtId="0" fontId="3" fillId="4" borderId="1" xfId="54" applyFont="1" applyFill="1" applyBorder="1" applyAlignment="1" applyProtection="1">
      <alignment horizontal="center" vertical="center" wrapText="1"/>
    </xf>
    <xf numFmtId="49" fontId="3" fillId="2" borderId="2" xfId="54" applyNumberFormat="1" applyFont="1" applyFill="1" applyBorder="1" applyAlignment="1" applyProtection="1">
      <alignment horizontal="center" vertical="center" wrapText="1"/>
    </xf>
    <xf numFmtId="0" fontId="3" fillId="2" borderId="2" xfId="54" applyFont="1" applyFill="1" applyBorder="1" applyAlignment="1" applyProtection="1">
      <alignment horizontal="center" vertical="center" wrapText="1"/>
    </xf>
    <xf numFmtId="0" fontId="3" fillId="5" borderId="1" xfId="54" applyFont="1" applyFill="1" applyBorder="1" applyAlignment="1" applyProtection="1">
      <alignment horizontal="center" vertical="center" wrapText="1"/>
    </xf>
    <xf numFmtId="0" fontId="3" fillId="6" borderId="2" xfId="54" applyFont="1" applyFill="1" applyBorder="1" applyAlignment="1" applyProtection="1">
      <alignment horizontal="center" vertical="center" wrapText="1"/>
    </xf>
    <xf numFmtId="0" fontId="3" fillId="6" borderId="1" xfId="54" applyFont="1" applyFill="1" applyBorder="1" applyAlignment="1" applyProtection="1">
      <alignment horizontal="center" vertical="center" wrapText="1"/>
    </xf>
    <xf numFmtId="0" fontId="3" fillId="7" borderId="1" xfId="54" applyFont="1" applyFill="1" applyBorder="1" applyAlignment="1" applyProtection="1">
      <alignment horizontal="center" vertical="center" wrapText="1"/>
    </xf>
    <xf numFmtId="0" fontId="3" fillId="8" borderId="1" xfId="54" applyFont="1" applyFill="1" applyBorder="1" applyAlignment="1" applyProtection="1">
      <alignment horizontal="center" vertical="center" wrapText="1"/>
    </xf>
    <xf numFmtId="0" fontId="4" fillId="0" borderId="1" xfId="54" applyFont="1" applyBorder="1" applyAlignment="1" applyProtection="1">
      <alignment horizontal="center" vertical="center"/>
    </xf>
    <xf numFmtId="177" fontId="4" fillId="0" borderId="1" xfId="54" applyNumberFormat="1" applyFont="1" applyBorder="1" applyAlignment="1" applyProtection="1">
      <alignment horizontal="center" vertical="center"/>
    </xf>
    <xf numFmtId="10" fontId="4" fillId="9" borderId="1" xfId="54" applyNumberFormat="1" applyFont="1" applyFill="1" applyBorder="1" applyAlignment="1" applyProtection="1">
      <alignment horizontal="center" vertical="center" shrinkToFit="1"/>
    </xf>
    <xf numFmtId="49" fontId="4" fillId="9" borderId="1" xfId="54" applyNumberFormat="1" applyFont="1" applyFill="1" applyBorder="1" applyAlignment="1" applyProtection="1">
      <alignment horizontal="center" vertical="center"/>
    </xf>
    <xf numFmtId="0" fontId="4" fillId="9" borderId="1" xfId="54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4" fillId="9" borderId="1" xfId="54" applyNumberFormat="1" applyFont="1" applyFill="1" applyBorder="1" applyAlignment="1" applyProtection="1">
      <alignment horizontal="center" vertical="center"/>
    </xf>
    <xf numFmtId="10" fontId="4" fillId="9" borderId="1" xfId="49" applyNumberFormat="1" applyFont="1" applyFill="1" applyBorder="1" applyAlignment="1">
      <alignment horizontal="center" vertical="center" shrinkToFit="1"/>
    </xf>
    <xf numFmtId="178" fontId="4" fillId="10" borderId="1" xfId="54" applyNumberFormat="1" applyFont="1" applyFill="1" applyBorder="1" applyAlignment="1" applyProtection="1">
      <alignment horizontal="center" vertical="center"/>
    </xf>
    <xf numFmtId="178" fontId="4" fillId="9" borderId="1" xfId="49" applyNumberFormat="1" applyFont="1" applyFill="1" applyBorder="1" applyAlignment="1">
      <alignment horizontal="center" vertical="center" shrinkToFit="1"/>
    </xf>
    <xf numFmtId="178" fontId="4" fillId="4" borderId="1" xfId="54" applyNumberFormat="1" applyFont="1" applyFill="1" applyBorder="1" applyAlignment="1" applyProtection="1">
      <alignment horizontal="center" vertical="center"/>
    </xf>
    <xf numFmtId="10" fontId="4" fillId="9" borderId="1" xfId="54" applyNumberFormat="1" applyFont="1" applyFill="1" applyBorder="1" applyAlignment="1" applyProtection="1">
      <alignment horizontal="center" vertical="center"/>
    </xf>
    <xf numFmtId="178" fontId="4" fillId="11" borderId="1" xfId="54" applyNumberFormat="1" applyFont="1" applyFill="1" applyBorder="1" applyAlignment="1" applyProtection="1">
      <alignment horizontal="center" vertical="center"/>
    </xf>
    <xf numFmtId="10" fontId="4" fillId="9" borderId="1" xfId="49" applyNumberFormat="1" applyFont="1" applyFill="1" applyBorder="1" applyAlignment="1" applyProtection="1">
      <alignment horizontal="center" vertical="center"/>
    </xf>
    <xf numFmtId="178" fontId="6" fillId="0" borderId="1" xfId="54" applyNumberFormat="1" applyFont="1" applyBorder="1" applyAlignment="1" applyProtection="1">
      <alignment horizontal="center" vertical="center"/>
    </xf>
    <xf numFmtId="178" fontId="4" fillId="0" borderId="1" xfId="54" applyNumberFormat="1" applyFont="1" applyBorder="1" applyAlignment="1" applyProtection="1">
      <alignment horizontal="center" vertical="center"/>
    </xf>
    <xf numFmtId="0" fontId="4" fillId="9" borderId="3" xfId="54" applyFont="1" applyFill="1" applyBorder="1" applyAlignment="1" applyProtection="1">
      <alignment horizontal="center" vertical="center" shrinkToFit="1"/>
    </xf>
    <xf numFmtId="0" fontId="6" fillId="9" borderId="3" xfId="54" applyFont="1" applyFill="1" applyBorder="1" applyAlignment="1" applyProtection="1">
      <alignment horizontal="center" vertical="center" shrinkToFit="1"/>
    </xf>
    <xf numFmtId="178" fontId="6" fillId="9" borderId="3" xfId="54" applyNumberFormat="1" applyFont="1" applyFill="1" applyBorder="1" applyAlignment="1" applyProtection="1">
      <alignment horizontal="center" vertical="center" shrinkToFit="1"/>
    </xf>
    <xf numFmtId="0" fontId="4" fillId="0" borderId="1" xfId="54" applyFont="1" applyBorder="1" applyAlignment="1" applyProtection="1">
      <alignment horizontal="center" vertical="center" shrinkToFit="1"/>
    </xf>
    <xf numFmtId="49" fontId="4" fillId="0" borderId="1" xfId="54" applyNumberFormat="1" applyFont="1" applyBorder="1" applyAlignment="1" applyProtection="1">
      <alignment horizontal="center" vertical="center" shrinkToFit="1"/>
    </xf>
    <xf numFmtId="9" fontId="4" fillId="0" borderId="1" xfId="54" applyNumberFormat="1" applyFont="1" applyBorder="1" applyAlignment="1" applyProtection="1">
      <alignment horizontal="center" vertical="center" shrinkToFit="1"/>
    </xf>
    <xf numFmtId="0" fontId="7" fillId="0" borderId="1" xfId="54" applyFont="1" applyBorder="1" applyAlignment="1" applyProtection="1">
      <alignment horizontal="center" vertical="center"/>
    </xf>
    <xf numFmtId="177" fontId="7" fillId="0" borderId="1" xfId="54" applyNumberFormat="1" applyFont="1" applyBorder="1" applyAlignment="1" applyProtection="1">
      <alignment horizontal="center" vertical="center"/>
    </xf>
    <xf numFmtId="10" fontId="7" fillId="9" borderId="1" xfId="54" applyNumberFormat="1" applyFont="1" applyFill="1" applyBorder="1" applyAlignment="1" applyProtection="1">
      <alignment horizontal="center" vertical="center" shrinkToFit="1"/>
    </xf>
    <xf numFmtId="49" fontId="7" fillId="9" borderId="1" xfId="54" applyNumberFormat="1" applyFont="1" applyFill="1" applyBorder="1" applyAlignment="1" applyProtection="1">
      <alignment horizontal="center" vertical="center"/>
    </xf>
    <xf numFmtId="0" fontId="7" fillId="9" borderId="1" xfId="54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7" fillId="9" borderId="1" xfId="54" applyNumberFormat="1" applyFont="1" applyFill="1" applyBorder="1" applyAlignment="1" applyProtection="1">
      <alignment horizontal="center" vertical="center"/>
    </xf>
    <xf numFmtId="10" fontId="7" fillId="9" borderId="1" xfId="49" applyNumberFormat="1" applyFont="1" applyFill="1" applyBorder="1" applyAlignment="1">
      <alignment horizontal="center" vertical="center" shrinkToFit="1"/>
    </xf>
    <xf numFmtId="178" fontId="7" fillId="10" borderId="1" xfId="54" applyNumberFormat="1" applyFont="1" applyFill="1" applyBorder="1" applyAlignment="1" applyProtection="1">
      <alignment horizontal="center" vertical="center"/>
    </xf>
    <xf numFmtId="178" fontId="7" fillId="9" borderId="1" xfId="49" applyNumberFormat="1" applyFont="1" applyFill="1" applyBorder="1" applyAlignment="1">
      <alignment horizontal="center" vertical="center" shrinkToFit="1"/>
    </xf>
    <xf numFmtId="178" fontId="7" fillId="4" borderId="1" xfId="54" applyNumberFormat="1" applyFont="1" applyFill="1" applyBorder="1" applyAlignment="1" applyProtection="1">
      <alignment horizontal="center" vertical="center"/>
    </xf>
    <xf numFmtId="10" fontId="7" fillId="9" borderId="1" xfId="54" applyNumberFormat="1" applyFont="1" applyFill="1" applyBorder="1" applyAlignment="1" applyProtection="1">
      <alignment horizontal="center" vertical="center"/>
    </xf>
    <xf numFmtId="178" fontId="7" fillId="11" borderId="1" xfId="54" applyNumberFormat="1" applyFont="1" applyFill="1" applyBorder="1" applyAlignment="1" applyProtection="1">
      <alignment horizontal="center" vertical="center"/>
    </xf>
    <xf numFmtId="10" fontId="7" fillId="9" borderId="1" xfId="49" applyNumberFormat="1" applyFont="1" applyFill="1" applyBorder="1" applyAlignment="1" applyProtection="1">
      <alignment horizontal="center" vertical="center"/>
    </xf>
    <xf numFmtId="178" fontId="7" fillId="0" borderId="1" xfId="54" applyNumberFormat="1" applyFont="1" applyBorder="1" applyAlignment="1" applyProtection="1">
      <alignment horizontal="center" vertical="center"/>
    </xf>
    <xf numFmtId="0" fontId="7" fillId="9" borderId="3" xfId="54" applyFont="1" applyFill="1" applyBorder="1" applyAlignment="1" applyProtection="1">
      <alignment horizontal="center" vertical="center" shrinkToFit="1"/>
    </xf>
    <xf numFmtId="178" fontId="7" fillId="9" borderId="3" xfId="54" applyNumberFormat="1" applyFont="1" applyFill="1" applyBorder="1" applyAlignment="1" applyProtection="1">
      <alignment horizontal="center" vertical="center" shrinkToFit="1"/>
    </xf>
    <xf numFmtId="0" fontId="7" fillId="0" borderId="1" xfId="54" applyFont="1" applyBorder="1" applyAlignment="1" applyProtection="1">
      <alignment horizontal="center" vertical="center" shrinkToFit="1"/>
    </xf>
    <xf numFmtId="49" fontId="7" fillId="0" borderId="1" xfId="54" applyNumberFormat="1" applyFont="1" applyBorder="1" applyAlignment="1" applyProtection="1">
      <alignment horizontal="center" vertical="center" shrinkToFit="1"/>
    </xf>
    <xf numFmtId="9" fontId="7" fillId="0" borderId="1" xfId="54" applyNumberFormat="1" applyFont="1" applyBorder="1" applyAlignment="1" applyProtection="1">
      <alignment horizontal="center" vertical="center" shrinkToFit="1"/>
    </xf>
    <xf numFmtId="0" fontId="4" fillId="0" borderId="3" xfId="54" applyFont="1" applyBorder="1" applyAlignment="1" applyProtection="1">
      <alignment horizontal="center" vertical="center" shrinkToFit="1"/>
    </xf>
    <xf numFmtId="49" fontId="3" fillId="12" borderId="1" xfId="54" applyNumberFormat="1" applyFont="1" applyFill="1" applyBorder="1" applyAlignment="1" applyProtection="1">
      <alignment horizontal="center" vertical="center"/>
    </xf>
    <xf numFmtId="178" fontId="3" fillId="13" borderId="1" xfId="54" applyNumberFormat="1" applyFont="1" applyFill="1" applyBorder="1" applyAlignment="1" applyProtection="1">
      <alignment horizontal="center" vertical="center"/>
    </xf>
    <xf numFmtId="49" fontId="3" fillId="0" borderId="0" xfId="54" applyNumberFormat="1" applyFont="1" applyAlignment="1" applyProtection="1">
      <alignment horizontal="center" vertical="center"/>
    </xf>
    <xf numFmtId="178" fontId="3" fillId="0" borderId="0" xfId="54" applyNumberFormat="1" applyFont="1" applyAlignment="1" applyProtection="1">
      <alignment horizontal="center" vertical="center"/>
    </xf>
    <xf numFmtId="49" fontId="7" fillId="0" borderId="0" xfId="54" applyNumberFormat="1" applyFont="1" applyAlignment="1" applyProtection="1">
      <alignment horizontal="left" vertical="center" wrapText="1"/>
    </xf>
    <xf numFmtId="10" fontId="4" fillId="0" borderId="1" xfId="54" applyNumberFormat="1" applyFont="1" applyBorder="1" applyAlignment="1" applyProtection="1">
      <alignment horizontal="center" vertical="center"/>
    </xf>
    <xf numFmtId="49" fontId="4" fillId="0" borderId="1" xfId="54" applyNumberFormat="1" applyFont="1" applyBorder="1" applyAlignment="1" applyProtection="1">
      <alignment horizontal="center" vertical="center"/>
    </xf>
    <xf numFmtId="10" fontId="7" fillId="0" borderId="1" xfId="54" applyNumberFormat="1" applyFont="1" applyBorder="1" applyAlignment="1" applyProtection="1">
      <alignment horizontal="center" vertical="center"/>
    </xf>
    <xf numFmtId="178" fontId="1" fillId="0" borderId="0" xfId="54" applyNumberFormat="1" applyAlignment="1" applyProtection="1">
      <alignment vertical="center"/>
    </xf>
    <xf numFmtId="0" fontId="9" fillId="0" borderId="0" xfId="0" applyFont="1" applyAlignment="1">
      <alignment vertical="center"/>
    </xf>
    <xf numFmtId="0" fontId="10" fillId="0" borderId="0" xfId="60" applyFont="1" applyFill="1" applyBorder="1" applyAlignment="1">
      <alignment horizontal="center" vertical="center"/>
    </xf>
    <xf numFmtId="0" fontId="11" fillId="0" borderId="0" xfId="60" applyFont="1" applyFill="1" applyAlignment="1">
      <alignment vertical="center"/>
    </xf>
    <xf numFmtId="0" fontId="11" fillId="0" borderId="0" xfId="60" applyFont="1" applyFill="1" applyBorder="1" applyAlignment="1">
      <alignment horizontal="left" vertical="center"/>
    </xf>
    <xf numFmtId="179" fontId="12" fillId="0" borderId="4" xfId="60" applyNumberFormat="1" applyFont="1" applyFill="1" applyBorder="1" applyAlignment="1">
      <alignment horizontal="center" vertical="center" wrapText="1"/>
    </xf>
    <xf numFmtId="0" fontId="12" fillId="0" borderId="5" xfId="60" applyFont="1" applyFill="1" applyBorder="1" applyAlignment="1">
      <alignment horizontal="center" vertical="center" wrapText="1"/>
    </xf>
    <xf numFmtId="179" fontId="12" fillId="0" borderId="5" xfId="6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3" fillId="0" borderId="7" xfId="60" applyNumberFormat="1" applyFont="1" applyFill="1" applyBorder="1" applyAlignment="1">
      <alignment horizontal="center" vertical="center"/>
    </xf>
    <xf numFmtId="0" fontId="13" fillId="0" borderId="1" xfId="60" applyFont="1" applyFill="1" applyBorder="1" applyAlignment="1">
      <alignment horizontal="center" vertical="center"/>
    </xf>
    <xf numFmtId="178" fontId="13" fillId="14" borderId="1" xfId="61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57" fontId="14" fillId="2" borderId="7" xfId="60" applyNumberFormat="1" applyFont="1" applyFill="1" applyBorder="1" applyAlignment="1">
      <alignment horizontal="center" vertical="center"/>
    </xf>
    <xf numFmtId="178" fontId="13" fillId="2" borderId="1" xfId="61" applyNumberFormat="1" applyFont="1" applyFill="1" applyBorder="1" applyAlignment="1">
      <alignment horizontal="center" vertical="center" wrapText="1"/>
    </xf>
    <xf numFmtId="0" fontId="15" fillId="0" borderId="9" xfId="60" applyFont="1" applyFill="1" applyBorder="1" applyAlignment="1">
      <alignment horizontal="center" vertical="center"/>
    </xf>
    <xf numFmtId="0" fontId="15" fillId="0" borderId="10" xfId="60" applyFont="1" applyFill="1" applyBorder="1" applyAlignment="1">
      <alignment horizontal="center" vertical="center"/>
    </xf>
    <xf numFmtId="179" fontId="12" fillId="0" borderId="10" xfId="6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6" fillId="0" borderId="0" xfId="60" applyFont="1" applyFill="1" applyAlignment="1">
      <alignment horizontal="center" vertical="center"/>
    </xf>
    <xf numFmtId="0" fontId="15" fillId="0" borderId="12" xfId="60" applyFont="1" applyFill="1" applyBorder="1" applyAlignment="1">
      <alignment horizontal="left" vertical="center" wrapText="1"/>
    </xf>
    <xf numFmtId="0" fontId="15" fillId="0" borderId="13" xfId="60" applyFont="1" applyFill="1" applyBorder="1" applyAlignment="1">
      <alignment horizontal="left" vertical="center" wrapText="1"/>
    </xf>
    <xf numFmtId="0" fontId="15" fillId="0" borderId="14" xfId="60" applyFont="1" applyFill="1" applyBorder="1" applyAlignment="1">
      <alignment horizontal="left" vertical="center" wrapText="1"/>
    </xf>
    <xf numFmtId="179" fontId="15" fillId="0" borderId="15" xfId="60" applyNumberFormat="1" applyFont="1" applyFill="1" applyBorder="1" applyAlignment="1">
      <alignment horizontal="left" vertical="center" wrapText="1"/>
    </xf>
    <xf numFmtId="179" fontId="15" fillId="0" borderId="16" xfId="60" applyNumberFormat="1" applyFont="1" applyFill="1" applyBorder="1" applyAlignment="1">
      <alignment horizontal="left" vertical="center" wrapText="1"/>
    </xf>
    <xf numFmtId="179" fontId="15" fillId="0" borderId="17" xfId="60" applyNumberFormat="1" applyFont="1" applyFill="1" applyBorder="1" applyAlignment="1">
      <alignment horizontal="left" vertical="center" wrapText="1"/>
    </xf>
    <xf numFmtId="0" fontId="15" fillId="0" borderId="15" xfId="60" applyFont="1" applyFill="1" applyBorder="1" applyAlignment="1">
      <alignment horizontal="left" vertical="center"/>
    </xf>
    <xf numFmtId="0" fontId="15" fillId="0" borderId="16" xfId="60" applyFont="1" applyFill="1" applyBorder="1" applyAlignment="1">
      <alignment horizontal="left" vertical="center"/>
    </xf>
    <xf numFmtId="0" fontId="15" fillId="0" borderId="17" xfId="60" applyFont="1" applyFill="1" applyBorder="1" applyAlignment="1">
      <alignment horizontal="left" vertical="center"/>
    </xf>
    <xf numFmtId="0" fontId="15" fillId="4" borderId="18" xfId="60" applyFont="1" applyFill="1" applyBorder="1" applyAlignment="1">
      <alignment horizontal="left" vertical="top" wrapText="1"/>
    </xf>
    <xf numFmtId="0" fontId="15" fillId="4" borderId="19" xfId="60" applyFont="1" applyFill="1" applyBorder="1" applyAlignment="1">
      <alignment horizontal="left" vertical="top"/>
    </xf>
    <xf numFmtId="0" fontId="15" fillId="4" borderId="20" xfId="60" applyFont="1" applyFill="1" applyBorder="1" applyAlignment="1">
      <alignment horizontal="left" vertical="top"/>
    </xf>
    <xf numFmtId="0" fontId="12" fillId="0" borderId="5" xfId="60" applyFont="1" applyFill="1" applyBorder="1" applyAlignment="1" quotePrefix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02 2 2 2 3 2" xfId="50"/>
    <cellStyle name="常规 102 2 2 2 3 2 2" xfId="51"/>
    <cellStyle name="常规 103 3 2 2 2" xfId="52"/>
    <cellStyle name="常规 115" xfId="53"/>
    <cellStyle name="常规 2" xfId="54"/>
    <cellStyle name="常规 2 2" xfId="55"/>
    <cellStyle name="常规 2 21 2 2" xfId="56"/>
    <cellStyle name="常规 2 21 2 2 3 2 2 2 2 3" xfId="57"/>
    <cellStyle name="常规 2 21 2 2 3 2 2 2 2 3 2 2" xfId="58"/>
    <cellStyle name="常规 2 30" xfId="59"/>
    <cellStyle name="常规_to易才全钰" xfId="60"/>
    <cellStyle name="样式 1" xfId="61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14"/>
  <sheetViews>
    <sheetView workbookViewId="0">
      <selection activeCell="C23" sqref="C23"/>
    </sheetView>
  </sheetViews>
  <sheetFormatPr defaultColWidth="10.875" defaultRowHeight="14"/>
  <cols>
    <col min="2" max="2" width="15.75" customWidth="1"/>
    <col min="9" max="9" width="11.5"/>
    <col min="10" max="10" width="16.75" customWidth="1"/>
  </cols>
  <sheetData>
    <row r="1" ht="16.5" spans="1:1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</row>
    <row r="2" ht="27.5" spans="1:11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6"/>
      <c r="K2" s="66"/>
    </row>
    <row r="3" ht="17.25" spans="1:11">
      <c r="A3" s="68" t="s">
        <v>1</v>
      </c>
      <c r="B3" s="69" t="s">
        <v>2</v>
      </c>
      <c r="C3" s="69"/>
      <c r="D3" s="69"/>
      <c r="E3" s="69"/>
      <c r="F3" s="69"/>
      <c r="G3" s="69"/>
      <c r="H3" s="69"/>
      <c r="I3" s="69"/>
      <c r="J3" s="69"/>
      <c r="K3" s="69"/>
    </row>
    <row r="4" ht="20.25" customHeight="1" spans="1:11">
      <c r="A4" s="70" t="s">
        <v>3</v>
      </c>
      <c r="B4" s="100" t="s">
        <v>4</v>
      </c>
      <c r="C4" s="72" t="s">
        <v>5</v>
      </c>
      <c r="D4" s="100" t="s">
        <v>6</v>
      </c>
      <c r="E4" s="71" t="s">
        <v>7</v>
      </c>
      <c r="F4" s="100" t="s">
        <v>8</v>
      </c>
      <c r="G4" s="100" t="s">
        <v>9</v>
      </c>
      <c r="H4" s="71" t="s">
        <v>10</v>
      </c>
      <c r="I4" s="100" t="s">
        <v>11</v>
      </c>
      <c r="J4" s="73" t="s">
        <v>12</v>
      </c>
      <c r="K4" s="74" t="s">
        <v>13</v>
      </c>
    </row>
    <row r="5" ht="20.25" customHeight="1" spans="1:11">
      <c r="A5" s="75">
        <v>202603</v>
      </c>
      <c r="B5" s="76" t="s">
        <v>14</v>
      </c>
      <c r="C5" s="77">
        <f>SUMIF(付款明细!F:F,B5,付款明细!AR:AR)</f>
        <v>5401.04</v>
      </c>
      <c r="D5" s="77">
        <f>SUMIF(付款明细!F:F,B5,付款明细!AY:AY)</f>
        <v>2068</v>
      </c>
      <c r="E5" s="77">
        <f>SUMIF(付款明细!F:F,B5,付款明细!BA:BA)</f>
        <v>201.6</v>
      </c>
      <c r="F5" s="77">
        <f>付款明细!BG7</f>
        <v>0</v>
      </c>
      <c r="G5" s="77">
        <f>SUMIF(付款明细!F:F,B5,付款明细!BI:BI)</f>
        <v>60</v>
      </c>
      <c r="H5" s="77">
        <f>SUMIF(付款明细!F:F,B5,付款明细!BJ:BJ)</f>
        <v>1558.497024</v>
      </c>
      <c r="I5" s="77">
        <f>SUM(C5:H5)</f>
        <v>9289.137024</v>
      </c>
      <c r="J5" s="78">
        <v>2</v>
      </c>
      <c r="K5" s="79" t="s">
        <v>15</v>
      </c>
    </row>
    <row r="6" ht="20.25" customHeight="1" spans="1:11">
      <c r="A6" s="80" t="s">
        <v>16</v>
      </c>
      <c r="B6" s="81"/>
      <c r="C6" s="81"/>
      <c r="D6" s="81"/>
      <c r="E6" s="81"/>
      <c r="F6" s="81"/>
      <c r="G6" s="81"/>
      <c r="H6" s="81"/>
      <c r="I6" s="81"/>
      <c r="J6" s="78"/>
      <c r="K6" s="79"/>
    </row>
    <row r="7" ht="20.25" customHeight="1" spans="1:11">
      <c r="A7" s="82" t="s">
        <v>11</v>
      </c>
      <c r="B7" s="83"/>
      <c r="C7" s="84">
        <f t="shared" ref="C7:I7" si="0">ROUND(SUM(C5:C6),2)</f>
        <v>5401.04</v>
      </c>
      <c r="D7" s="84">
        <f t="shared" si="0"/>
        <v>2068</v>
      </c>
      <c r="E7" s="84">
        <f t="shared" si="0"/>
        <v>201.6</v>
      </c>
      <c r="F7" s="84">
        <f t="shared" si="0"/>
        <v>0</v>
      </c>
      <c r="G7" s="84">
        <f t="shared" si="0"/>
        <v>60</v>
      </c>
      <c r="H7" s="84">
        <f t="shared" si="0"/>
        <v>1558.5</v>
      </c>
      <c r="I7" s="84">
        <f t="shared" si="0"/>
        <v>9289.14</v>
      </c>
      <c r="J7" s="85">
        <f>SUM(J5:J6)</f>
        <v>2</v>
      </c>
      <c r="K7" s="86"/>
    </row>
    <row r="8" ht="17.25" spans="1:1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</row>
    <row r="9" ht="16.5" spans="1:11">
      <c r="A9" s="88" t="s">
        <v>17</v>
      </c>
      <c r="B9" s="89"/>
      <c r="C9" s="89"/>
      <c r="D9" s="89"/>
      <c r="E9" s="89"/>
      <c r="F9" s="90"/>
    </row>
    <row r="10" ht="16.5" spans="1:11">
      <c r="A10" s="91" t="s">
        <v>18</v>
      </c>
      <c r="B10" s="92"/>
      <c r="C10" s="92"/>
      <c r="D10" s="92"/>
      <c r="E10" s="92"/>
      <c r="F10" s="93"/>
    </row>
    <row r="11" ht="16.5" spans="1:11">
      <c r="A11" s="91" t="s">
        <v>19</v>
      </c>
      <c r="B11" s="92"/>
      <c r="C11" s="92"/>
      <c r="D11" s="92"/>
      <c r="E11" s="92"/>
      <c r="F11" s="93"/>
    </row>
    <row r="12" ht="16.5" spans="1:11">
      <c r="A12" s="94" t="s">
        <v>20</v>
      </c>
      <c r="B12" s="95"/>
      <c r="C12" s="95"/>
      <c r="D12" s="95"/>
      <c r="E12" s="95"/>
      <c r="F12" s="96"/>
    </row>
    <row r="13" ht="16.5" spans="1:11">
      <c r="A13" s="94" t="s">
        <v>21</v>
      </c>
      <c r="B13" s="95"/>
      <c r="C13" s="95"/>
      <c r="D13" s="95"/>
      <c r="E13" s="95"/>
      <c r="F13" s="96"/>
    </row>
    <row r="14" ht="140.25" customHeight="1" spans="1:11">
      <c r="A14" s="97" t="s">
        <v>22</v>
      </c>
      <c r="B14" s="98"/>
      <c r="C14" s="98"/>
      <c r="D14" s="98"/>
      <c r="E14" s="98"/>
      <c r="F14" s="99"/>
    </row>
  </sheetData>
  <mergeCells count="8">
    <mergeCell ref="A2:I2"/>
    <mergeCell ref="B3:K3"/>
    <mergeCell ref="A9:F9"/>
    <mergeCell ref="A10:F10"/>
    <mergeCell ref="A11:F11"/>
    <mergeCell ref="A12:F12"/>
    <mergeCell ref="A13:F13"/>
    <mergeCell ref="A14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/>
  </sheetPr>
  <dimension ref="A1:CH29"/>
  <sheetViews>
    <sheetView tabSelected="1" topLeftCell="BE1" workbookViewId="0">
      <pane ySplit="1" topLeftCell="A2" activePane="bottomLeft" state="frozen"/>
      <selection/>
      <selection pane="bottomLeft" activeCell="BJ5" sqref="BJ5"/>
    </sheetView>
  </sheetViews>
  <sheetFormatPr defaultColWidth="8.75" defaultRowHeight="20.1" customHeight="1"/>
  <cols>
    <col min="1" max="1" width="4.5" style="1" customWidth="1"/>
    <col min="2" max="2" width="5" style="1" customWidth="1"/>
    <col min="3" max="3" width="27.625" style="1" customWidth="1"/>
    <col min="4" max="4" width="6.25" style="1" customWidth="1"/>
    <col min="5" max="5" width="17.375" style="1" customWidth="1"/>
    <col min="6" max="6" width="9.625" style="1" customWidth="1"/>
    <col min="7" max="7" width="8.5" style="1" customWidth="1"/>
    <col min="8" max="8" width="9.5" style="1" customWidth="1"/>
    <col min="9" max="9" width="10.625" style="1" customWidth="1"/>
    <col min="10" max="10" width="8.25" style="1" customWidth="1"/>
    <col min="11" max="11" width="12.375" style="1" customWidth="1"/>
    <col min="12" max="12" width="13" style="1" customWidth="1"/>
    <col min="13" max="13" width="12.25" style="1" customWidth="1"/>
    <col min="14" max="14" width="10.25" style="1" customWidth="1"/>
    <col min="15" max="16" width="12.25" style="1" customWidth="1"/>
    <col min="17" max="18" width="10.25" style="1" customWidth="1"/>
    <col min="19" max="19" width="11.25" style="1" customWidth="1"/>
    <col min="20" max="20" width="12.25" style="1" customWidth="1"/>
    <col min="21" max="27" width="10.25" style="1" customWidth="1"/>
    <col min="28" max="28" width="9.5" style="1" customWidth="1"/>
    <col min="29" max="34" width="10.25" style="1" customWidth="1"/>
    <col min="35" max="35" width="8.5" style="1" customWidth="1"/>
    <col min="36" max="40" width="10.25" style="1" customWidth="1"/>
    <col min="41" max="41" width="12.25" style="1" customWidth="1"/>
    <col min="42" max="42" width="11.375" style="1" customWidth="1"/>
    <col min="43" max="43" width="9.5" style="1" customWidth="1"/>
    <col min="44" max="44" width="10.5" style="1" customWidth="1"/>
    <col min="45" max="45" width="12" style="1" customWidth="1"/>
    <col min="46" max="47" width="10.25" style="1" customWidth="1"/>
    <col min="48" max="48" width="12.375" style="1" customWidth="1"/>
    <col min="49" max="49" width="8.5" style="1" customWidth="1"/>
    <col min="50" max="50" width="11.75" style="1" customWidth="1"/>
    <col min="51" max="51" width="10.25" style="1" customWidth="1"/>
    <col min="52" max="52" width="10.5" style="1" customWidth="1"/>
    <col min="53" max="53" width="8.5" style="1" customWidth="1"/>
    <col min="54" max="54" width="10.375" style="1" customWidth="1"/>
    <col min="55" max="58" width="6.75" style="1" customWidth="1"/>
    <col min="59" max="59" width="8.5" style="1" customWidth="1"/>
    <col min="60" max="60" width="10.5" style="1" customWidth="1"/>
    <col min="61" max="62" width="8.5" style="1" customWidth="1"/>
    <col min="63" max="63" width="10.5" style="1" customWidth="1"/>
    <col min="64" max="64" width="61.5" style="1" customWidth="1"/>
    <col min="65" max="68" width="7.625" style="1" hidden="1" customWidth="1"/>
    <col min="69" max="69" width="16.5" style="1" hidden="1" customWidth="1"/>
    <col min="70" max="71" width="12.25" style="1" customWidth="1"/>
    <col min="72" max="77" width="8.5" style="1" hidden="1" customWidth="1"/>
    <col min="78" max="79" width="10.25" style="1" hidden="1" customWidth="1"/>
    <col min="80" max="81" width="8.5" style="1" hidden="1" customWidth="1"/>
    <col min="82" max="86" width="10.25" style="1" hidden="1" customWidth="1"/>
    <col min="87" max="90" width="8.75" style="1" customWidth="1"/>
    <col min="91" max="111" width="8.75" style="1"/>
  </cols>
  <sheetData>
    <row r="1" ht="26.25" customHeight="1" spans="1:86">
      <c r="A1" s="3" t="s">
        <v>23</v>
      </c>
      <c r="B1" s="3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5" t="s">
        <v>41</v>
      </c>
      <c r="T1" s="3" t="s">
        <v>42</v>
      </c>
      <c r="U1" s="3" t="s">
        <v>43</v>
      </c>
      <c r="V1" s="3" t="s">
        <v>44</v>
      </c>
      <c r="W1" s="6" t="s">
        <v>45</v>
      </c>
      <c r="X1" s="3" t="s">
        <v>46</v>
      </c>
      <c r="Y1" s="3" t="s">
        <v>47</v>
      </c>
      <c r="Z1" s="3" t="s">
        <v>48</v>
      </c>
      <c r="AA1" s="6" t="s">
        <v>49</v>
      </c>
      <c r="AB1" s="5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5" t="s">
        <v>57</v>
      </c>
      <c r="AJ1" s="3" t="s">
        <v>58</v>
      </c>
      <c r="AK1" s="3" t="s">
        <v>59</v>
      </c>
      <c r="AL1" s="5" t="s">
        <v>60</v>
      </c>
      <c r="AM1" s="3" t="s">
        <v>61</v>
      </c>
      <c r="AN1" s="3" t="s">
        <v>62</v>
      </c>
      <c r="AO1" s="5" t="s">
        <v>63</v>
      </c>
      <c r="AP1" s="7" t="s">
        <v>64</v>
      </c>
      <c r="AQ1" s="7" t="s">
        <v>65</v>
      </c>
      <c r="AR1" s="8" t="s">
        <v>66</v>
      </c>
      <c r="AS1" s="3" t="s">
        <v>67</v>
      </c>
      <c r="AT1" s="3" t="s">
        <v>68</v>
      </c>
      <c r="AU1" s="9" t="s">
        <v>69</v>
      </c>
      <c r="AV1" s="3" t="s">
        <v>70</v>
      </c>
      <c r="AW1" s="3" t="s">
        <v>71</v>
      </c>
      <c r="AX1" s="9" t="s">
        <v>72</v>
      </c>
      <c r="AY1" s="8" t="s">
        <v>73</v>
      </c>
      <c r="AZ1" s="8" t="s">
        <v>74</v>
      </c>
      <c r="BA1" s="10" t="s">
        <v>75</v>
      </c>
      <c r="BB1" s="10" t="s">
        <v>76</v>
      </c>
      <c r="BC1" s="10" t="s">
        <v>77</v>
      </c>
      <c r="BD1" s="10" t="s">
        <v>78</v>
      </c>
      <c r="BE1" s="10" t="s">
        <v>79</v>
      </c>
      <c r="BF1" s="10" t="s">
        <v>80</v>
      </c>
      <c r="BG1" s="10" t="s">
        <v>81</v>
      </c>
      <c r="BH1" s="6" t="s">
        <v>82</v>
      </c>
      <c r="BI1" s="11" t="s">
        <v>9</v>
      </c>
      <c r="BJ1" s="11" t="s">
        <v>10</v>
      </c>
      <c r="BK1" s="11" t="s">
        <v>11</v>
      </c>
      <c r="BL1" s="3" t="s">
        <v>12</v>
      </c>
      <c r="BM1" s="3" t="s">
        <v>83</v>
      </c>
      <c r="BN1" s="3" t="s">
        <v>84</v>
      </c>
      <c r="BO1" s="3" t="s">
        <v>85</v>
      </c>
      <c r="BP1" s="3" t="s">
        <v>86</v>
      </c>
      <c r="BQ1" s="3" t="s">
        <v>87</v>
      </c>
      <c r="BR1" s="3" t="s">
        <v>88</v>
      </c>
      <c r="BS1" s="3" t="s">
        <v>89</v>
      </c>
      <c r="BT1" s="12" t="s">
        <v>90</v>
      </c>
      <c r="BU1" s="12" t="s">
        <v>91</v>
      </c>
      <c r="BV1" s="12" t="s">
        <v>92</v>
      </c>
      <c r="BW1" s="12" t="s">
        <v>93</v>
      </c>
      <c r="BX1" s="13" t="s">
        <v>94</v>
      </c>
      <c r="BY1" s="13" t="s">
        <v>95</v>
      </c>
      <c r="BZ1" s="13" t="s">
        <v>96</v>
      </c>
      <c r="CA1" s="13" t="s">
        <v>97</v>
      </c>
      <c r="CB1" s="13" t="s">
        <v>98</v>
      </c>
      <c r="CC1" s="13" t="s">
        <v>99</v>
      </c>
      <c r="CD1" s="12" t="s">
        <v>100</v>
      </c>
      <c r="CE1" s="12" t="s">
        <v>101</v>
      </c>
      <c r="CF1" s="12" t="s">
        <v>102</v>
      </c>
      <c r="CG1" s="13" t="s">
        <v>103</v>
      </c>
      <c r="CH1" s="13" t="s">
        <v>104</v>
      </c>
    </row>
    <row r="2" s="1" customFormat="1" ht="27" customHeight="1" spans="1:86">
      <c r="A2" s="14">
        <f>IF(OR(B2="正常",B2="新增"),MAX(A$1:$B1)+1,"")</f>
        <v>1</v>
      </c>
      <c r="B2" s="15" t="s">
        <v>105</v>
      </c>
      <c r="C2" s="16" t="s">
        <v>2</v>
      </c>
      <c r="D2" s="14" t="s">
        <v>106</v>
      </c>
      <c r="E2" s="17" t="s">
        <v>107</v>
      </c>
      <c r="F2" s="18" t="s">
        <v>14</v>
      </c>
      <c r="G2" s="19" t="s">
        <v>108</v>
      </c>
      <c r="H2" s="14">
        <v>202306</v>
      </c>
      <c r="I2" s="14">
        <v>202306</v>
      </c>
      <c r="J2" s="14">
        <v>202603</v>
      </c>
      <c r="K2" s="14">
        <f>J2</f>
        <v>202603</v>
      </c>
      <c r="L2" s="14">
        <f>K2</f>
        <v>202603</v>
      </c>
      <c r="M2" s="20">
        <v>7460</v>
      </c>
      <c r="N2" s="21">
        <v>0.16</v>
      </c>
      <c r="O2" s="20">
        <f>ROUND(M2*N2,2)</f>
        <v>1193.6</v>
      </c>
      <c r="P2" s="20">
        <f>M2</f>
        <v>7460</v>
      </c>
      <c r="Q2" s="21">
        <v>0.08</v>
      </c>
      <c r="R2" s="20">
        <f>ROUND(P2*Q2,2)</f>
        <v>596.8</v>
      </c>
      <c r="S2" s="22">
        <f>O2+R2</f>
        <v>1790.4</v>
      </c>
      <c r="T2" s="20">
        <v>7460</v>
      </c>
      <c r="U2" s="21">
        <v>0.09</v>
      </c>
      <c r="V2" s="23">
        <v>0</v>
      </c>
      <c r="W2" s="24">
        <f>ROUND(T2*U2,2)+V2+BX2+BZ2+CA2+CB2</f>
        <v>671.4</v>
      </c>
      <c r="X2" s="20">
        <f>T2</f>
        <v>7460</v>
      </c>
      <c r="Y2" s="25">
        <v>0.02</v>
      </c>
      <c r="Z2" s="20">
        <v>0</v>
      </c>
      <c r="AA2" s="24">
        <f>ROUND(X2*Y2,2)+Z2+BY2+CC2</f>
        <v>149.2</v>
      </c>
      <c r="AB2" s="22">
        <f>W2+AA2</f>
        <v>820.6</v>
      </c>
      <c r="AC2" s="20">
        <v>7460</v>
      </c>
      <c r="AD2" s="25">
        <v>0.005</v>
      </c>
      <c r="AE2" s="20">
        <f>ROUND(AC2*AD2,2)</f>
        <v>37.3</v>
      </c>
      <c r="AF2" s="20">
        <f>AC2</f>
        <v>7460</v>
      </c>
      <c r="AG2" s="25">
        <v>0.005</v>
      </c>
      <c r="AH2" s="20">
        <f>ROUND(AF2*AG2,2)</f>
        <v>37.3</v>
      </c>
      <c r="AI2" s="22">
        <f>AE2+AH2</f>
        <v>74.6</v>
      </c>
      <c r="AJ2" s="20">
        <v>7460</v>
      </c>
      <c r="AK2" s="21">
        <v>0</v>
      </c>
      <c r="AL2" s="22">
        <f>ROUND(AJ2*AK2,2)</f>
        <v>0</v>
      </c>
      <c r="AM2" s="20">
        <v>7460</v>
      </c>
      <c r="AN2" s="25">
        <v>0.002</v>
      </c>
      <c r="AO2" s="22">
        <f>ROUND(AM2*AN2,2)</f>
        <v>14.92</v>
      </c>
      <c r="AP2" s="26">
        <f>O2+AO2+AL2+AE2+W2</f>
        <v>1917.22</v>
      </c>
      <c r="AQ2" s="26">
        <f>R2+AH2+AA2</f>
        <v>783.3</v>
      </c>
      <c r="AR2" s="26">
        <f>AP2+AQ2</f>
        <v>2700.52</v>
      </c>
      <c r="AS2" s="20">
        <v>7384</v>
      </c>
      <c r="AT2" s="27">
        <v>0.07</v>
      </c>
      <c r="AU2" s="24">
        <f>ROUND(AS2*AT2,0)+CG2</f>
        <v>517</v>
      </c>
      <c r="AV2" s="20">
        <f>AS2</f>
        <v>7384</v>
      </c>
      <c r="AW2" s="27">
        <f>AT2</f>
        <v>0.07</v>
      </c>
      <c r="AX2" s="24">
        <f>ROUND(AV2*AW2,0)+CH2</f>
        <v>517</v>
      </c>
      <c r="AY2" s="26">
        <f>AU2+AX2</f>
        <v>1034</v>
      </c>
      <c r="AZ2" s="26">
        <f>AR2+AY2</f>
        <v>3734.52</v>
      </c>
      <c r="BA2" s="28">
        <f>ROUNDUP(M2*1.5%*90%,1)</f>
        <v>100.8</v>
      </c>
      <c r="BB2" s="29">
        <v>0</v>
      </c>
      <c r="BC2" s="29">
        <v>0</v>
      </c>
      <c r="BD2" s="29">
        <v>0</v>
      </c>
      <c r="BE2" s="29">
        <v>0</v>
      </c>
      <c r="BF2" s="29">
        <v>0</v>
      </c>
      <c r="BG2" s="29">
        <v>0</v>
      </c>
      <c r="BH2" s="24">
        <f>SUM(AZ2:BG2)</f>
        <v>3835.32</v>
      </c>
      <c r="BI2" s="29">
        <v>30</v>
      </c>
      <c r="BJ2" s="29">
        <f>SUM(BH2:BI2)*6.72%</f>
        <v>259.749504</v>
      </c>
      <c r="BK2" s="29">
        <f>SUM(BH2:BJ2)</f>
        <v>4125.069504</v>
      </c>
      <c r="BL2" s="30"/>
      <c r="BM2" s="31"/>
      <c r="BN2" s="32">
        <f>AR2-BM2</f>
        <v>2700.52</v>
      </c>
      <c r="BO2" s="31"/>
      <c r="BP2" s="32">
        <f>AY2-BO2</f>
        <v>1034</v>
      </c>
      <c r="BQ2" s="30"/>
      <c r="BR2" s="33"/>
      <c r="BS2" s="34"/>
      <c r="BT2" s="33"/>
      <c r="BU2" s="33"/>
      <c r="BV2" s="33"/>
      <c r="BW2" s="33"/>
      <c r="BX2" s="14"/>
      <c r="BY2" s="14"/>
      <c r="BZ2" s="14"/>
      <c r="CA2" s="14"/>
      <c r="CB2" s="14"/>
      <c r="CC2" s="14"/>
      <c r="CD2" s="33"/>
      <c r="CE2" s="35"/>
      <c r="CF2" s="35"/>
      <c r="CG2" s="33"/>
      <c r="CH2" s="33"/>
    </row>
    <row r="3" s="1" customFormat="1" ht="27" customHeight="1" spans="1:86">
      <c r="A3" s="14">
        <f>IF(OR(B3="正常",B3="新增"),MAX(A$1:$B2)+1,"")</f>
        <v>2</v>
      </c>
      <c r="B3" s="15" t="s">
        <v>105</v>
      </c>
      <c r="C3" s="16" t="s">
        <v>2</v>
      </c>
      <c r="D3" s="14" t="s">
        <v>109</v>
      </c>
      <c r="E3" s="17" t="s">
        <v>110</v>
      </c>
      <c r="F3" s="18" t="s">
        <v>14</v>
      </c>
      <c r="G3" s="19" t="s">
        <v>111</v>
      </c>
      <c r="H3" s="14">
        <v>202307</v>
      </c>
      <c r="I3" s="14">
        <v>202307</v>
      </c>
      <c r="J3" s="14">
        <v>202603</v>
      </c>
      <c r="K3" s="14">
        <f>J3</f>
        <v>202603</v>
      </c>
      <c r="L3" s="14">
        <f>K3</f>
        <v>202603</v>
      </c>
      <c r="M3" s="20">
        <v>7460</v>
      </c>
      <c r="N3" s="21">
        <v>0.16</v>
      </c>
      <c r="O3" s="20">
        <f>ROUND(M3*N3,2)</f>
        <v>1193.6</v>
      </c>
      <c r="P3" s="20">
        <f>M3</f>
        <v>7460</v>
      </c>
      <c r="Q3" s="21">
        <v>0.08</v>
      </c>
      <c r="R3" s="20">
        <f>ROUND(P3*Q3,2)</f>
        <v>596.8</v>
      </c>
      <c r="S3" s="22">
        <f>O3+R3</f>
        <v>1790.4</v>
      </c>
      <c r="T3" s="20">
        <v>7460</v>
      </c>
      <c r="U3" s="21">
        <v>0.09</v>
      </c>
      <c r="V3" s="23">
        <v>0</v>
      </c>
      <c r="W3" s="24">
        <f>ROUND(T3*U3,2)+V3+BX3+BZ3+CA3+CB3</f>
        <v>671.4</v>
      </c>
      <c r="X3" s="20">
        <f>T3</f>
        <v>7460</v>
      </c>
      <c r="Y3" s="25">
        <v>0.02</v>
      </c>
      <c r="Z3" s="20">
        <v>0</v>
      </c>
      <c r="AA3" s="24">
        <f>ROUND(X3*Y3,2)+Z3+BY3+CC3</f>
        <v>149.2</v>
      </c>
      <c r="AB3" s="22">
        <f>W3+AA3</f>
        <v>820.6</v>
      </c>
      <c r="AC3" s="20">
        <v>7460</v>
      </c>
      <c r="AD3" s="25">
        <v>0.005</v>
      </c>
      <c r="AE3" s="20">
        <f>ROUND(AC3*AD3,2)</f>
        <v>37.3</v>
      </c>
      <c r="AF3" s="20">
        <f>AC3</f>
        <v>7460</v>
      </c>
      <c r="AG3" s="25">
        <v>0.005</v>
      </c>
      <c r="AH3" s="20">
        <f>ROUND(AF3*AG3,2)</f>
        <v>37.3</v>
      </c>
      <c r="AI3" s="22">
        <f>AE3+AH3</f>
        <v>74.6</v>
      </c>
      <c r="AJ3" s="20">
        <v>7460</v>
      </c>
      <c r="AK3" s="21">
        <v>0</v>
      </c>
      <c r="AL3" s="22">
        <f>ROUND(AJ3*AK3,2)</f>
        <v>0</v>
      </c>
      <c r="AM3" s="20">
        <v>7460</v>
      </c>
      <c r="AN3" s="25">
        <v>0.002</v>
      </c>
      <c r="AO3" s="22">
        <f>ROUND(AM3*AN3,2)</f>
        <v>14.92</v>
      </c>
      <c r="AP3" s="26">
        <f>O3+AO3+AL3+AE3+W3</f>
        <v>1917.22</v>
      </c>
      <c r="AQ3" s="26">
        <f>R3+AH3+AA3</f>
        <v>783.3</v>
      </c>
      <c r="AR3" s="26">
        <f>AP3+AQ3</f>
        <v>2700.52</v>
      </c>
      <c r="AS3" s="20">
        <v>7384</v>
      </c>
      <c r="AT3" s="27">
        <v>0.07</v>
      </c>
      <c r="AU3" s="24">
        <f>ROUND(AS3*AT3,0)+CG3</f>
        <v>517</v>
      </c>
      <c r="AV3" s="20">
        <f>AS3</f>
        <v>7384</v>
      </c>
      <c r="AW3" s="27">
        <f>AT3</f>
        <v>0.07</v>
      </c>
      <c r="AX3" s="24">
        <f>ROUND(AV3*AW3,0)+CH3</f>
        <v>517</v>
      </c>
      <c r="AY3" s="26">
        <f>AU3+AX3</f>
        <v>1034</v>
      </c>
      <c r="AZ3" s="26">
        <f>AR3+AY3</f>
        <v>3734.52</v>
      </c>
      <c r="BA3" s="29">
        <f>ROUNDUP(M3*1.5%*90%,1)</f>
        <v>100.8</v>
      </c>
      <c r="BB3" s="29">
        <v>0</v>
      </c>
      <c r="BC3" s="29">
        <v>0</v>
      </c>
      <c r="BD3" s="29">
        <v>0</v>
      </c>
      <c r="BE3" s="29">
        <v>0</v>
      </c>
      <c r="BF3" s="29">
        <v>0</v>
      </c>
      <c r="BG3" s="29">
        <v>0</v>
      </c>
      <c r="BH3" s="24">
        <f>SUM(AZ3:BG3)</f>
        <v>3835.32</v>
      </c>
      <c r="BI3" s="29">
        <v>30</v>
      </c>
      <c r="BJ3" s="29">
        <f>SUM(BH3:BI3)*6.72%</f>
        <v>259.749504</v>
      </c>
      <c r="BK3" s="29">
        <f>SUM(BH3:BJ3)</f>
        <v>4125.069504</v>
      </c>
      <c r="BL3" s="30"/>
      <c r="BM3" s="31"/>
      <c r="BN3" s="32">
        <f>AR3-BM3</f>
        <v>2700.52</v>
      </c>
      <c r="BO3" s="31"/>
      <c r="BP3" s="32">
        <f>AY3-BO3</f>
        <v>1034</v>
      </c>
      <c r="BQ3" s="30"/>
      <c r="BR3" s="33"/>
      <c r="BS3" s="34"/>
      <c r="BT3" s="33"/>
      <c r="BU3" s="33"/>
      <c r="BV3" s="33"/>
      <c r="BW3" s="33"/>
      <c r="BX3" s="14"/>
      <c r="BY3" s="14"/>
      <c r="BZ3" s="14"/>
      <c r="CA3" s="14"/>
      <c r="CB3" s="14"/>
      <c r="CC3" s="14"/>
      <c r="CD3" s="33"/>
      <c r="CE3" s="35"/>
      <c r="CF3" s="35"/>
      <c r="CG3" s="33"/>
      <c r="CH3" s="33"/>
    </row>
    <row r="4" s="2" customFormat="1" ht="27" customHeight="1" spans="1:86">
      <c r="A4" s="36"/>
      <c r="B4" s="37" t="s">
        <v>112</v>
      </c>
      <c r="C4" s="38"/>
      <c r="D4" s="36"/>
      <c r="E4" s="39"/>
      <c r="F4" s="40" t="s">
        <v>14</v>
      </c>
      <c r="G4" s="41"/>
      <c r="H4" s="36"/>
      <c r="I4" s="36"/>
      <c r="J4" s="36">
        <v>202602</v>
      </c>
      <c r="K4" s="36"/>
      <c r="L4" s="36"/>
      <c r="M4" s="42"/>
      <c r="N4" s="43"/>
      <c r="O4" s="42"/>
      <c r="P4" s="42"/>
      <c r="Q4" s="43"/>
      <c r="R4" s="42"/>
      <c r="S4" s="44"/>
      <c r="T4" s="42"/>
      <c r="U4" s="43"/>
      <c r="V4" s="45"/>
      <c r="W4" s="46"/>
      <c r="X4" s="42"/>
      <c r="Y4" s="47"/>
      <c r="Z4" s="42"/>
      <c r="AA4" s="46"/>
      <c r="AB4" s="44"/>
      <c r="AC4" s="42"/>
      <c r="AD4" s="47"/>
      <c r="AE4" s="42"/>
      <c r="AF4" s="42"/>
      <c r="AG4" s="47"/>
      <c r="AH4" s="42"/>
      <c r="AI4" s="44"/>
      <c r="AJ4" s="42"/>
      <c r="AK4" s="43"/>
      <c r="AL4" s="44"/>
      <c r="AM4" s="42"/>
      <c r="AN4" s="47"/>
      <c r="AO4" s="44"/>
      <c r="AP4" s="48"/>
      <c r="AQ4" s="48"/>
      <c r="AR4" s="48"/>
      <c r="AS4" s="42"/>
      <c r="AT4" s="49"/>
      <c r="AU4" s="46"/>
      <c r="AV4" s="42"/>
      <c r="AW4" s="49"/>
      <c r="AX4" s="46"/>
      <c r="AY4" s="48"/>
      <c r="AZ4" s="48"/>
      <c r="BA4" s="50"/>
      <c r="BB4" s="50"/>
      <c r="BC4" s="50"/>
      <c r="BD4" s="50"/>
      <c r="BE4" s="50"/>
      <c r="BF4" s="50"/>
      <c r="BG4" s="50"/>
      <c r="BH4" s="46"/>
      <c r="BI4" s="50"/>
      <c r="BJ4" s="50">
        <f>7730.64*6.72%</f>
        <v>519.499008</v>
      </c>
      <c r="BK4" s="50">
        <f>SUM(BH4:BJ4)</f>
        <v>519.499008</v>
      </c>
      <c r="BL4" s="51" t="s">
        <v>113</v>
      </c>
      <c r="BM4" s="51"/>
      <c r="BN4" s="52"/>
      <c r="BO4" s="51"/>
      <c r="BP4" s="52"/>
      <c r="BQ4" s="51"/>
      <c r="BR4" s="53"/>
      <c r="BS4" s="54"/>
      <c r="BT4" s="53"/>
      <c r="BU4" s="53"/>
      <c r="BV4" s="53"/>
      <c r="BW4" s="53"/>
      <c r="BX4" s="36"/>
      <c r="BY4" s="36"/>
      <c r="BZ4" s="36"/>
      <c r="CA4" s="36"/>
      <c r="CB4" s="36"/>
      <c r="CC4" s="36"/>
      <c r="CD4" s="53"/>
      <c r="CE4" s="55"/>
      <c r="CF4" s="55"/>
      <c r="CG4" s="53"/>
      <c r="CH4" s="53"/>
    </row>
    <row r="5" s="2" customFormat="1" ht="27" customHeight="1" spans="1:86">
      <c r="A5" s="36"/>
      <c r="B5" s="37" t="s">
        <v>112</v>
      </c>
      <c r="C5" s="38"/>
      <c r="D5" s="36"/>
      <c r="E5" s="39"/>
      <c r="F5" s="40" t="s">
        <v>14</v>
      </c>
      <c r="G5" s="41"/>
      <c r="H5" s="36"/>
      <c r="I5" s="36"/>
      <c r="J5" s="36">
        <v>202601</v>
      </c>
      <c r="K5" s="36"/>
      <c r="L5" s="36"/>
      <c r="M5" s="42"/>
      <c r="N5" s="43"/>
      <c r="O5" s="42"/>
      <c r="P5" s="42"/>
      <c r="Q5" s="43"/>
      <c r="R5" s="42"/>
      <c r="S5" s="44"/>
      <c r="T5" s="42"/>
      <c r="U5" s="43"/>
      <c r="V5" s="45"/>
      <c r="W5" s="46"/>
      <c r="X5" s="42"/>
      <c r="Y5" s="47"/>
      <c r="Z5" s="42"/>
      <c r="AA5" s="46"/>
      <c r="AB5" s="44"/>
      <c r="AC5" s="42"/>
      <c r="AD5" s="47"/>
      <c r="AE5" s="42"/>
      <c r="AF5" s="42"/>
      <c r="AG5" s="47"/>
      <c r="AH5" s="42"/>
      <c r="AI5" s="44"/>
      <c r="AJ5" s="42"/>
      <c r="AK5" s="43"/>
      <c r="AL5" s="44"/>
      <c r="AM5" s="42"/>
      <c r="AN5" s="47"/>
      <c r="AO5" s="44"/>
      <c r="AP5" s="48"/>
      <c r="AQ5" s="48"/>
      <c r="AR5" s="48"/>
      <c r="AS5" s="42"/>
      <c r="AT5" s="49"/>
      <c r="AU5" s="46"/>
      <c r="AV5" s="42"/>
      <c r="AW5" s="49"/>
      <c r="AX5" s="46"/>
      <c r="AY5" s="48"/>
      <c r="AZ5" s="48"/>
      <c r="BA5" s="50"/>
      <c r="BB5" s="50"/>
      <c r="BC5" s="50"/>
      <c r="BD5" s="50"/>
      <c r="BE5" s="50"/>
      <c r="BF5" s="50"/>
      <c r="BG5" s="50"/>
      <c r="BH5" s="46"/>
      <c r="BI5" s="50"/>
      <c r="BJ5" s="50">
        <f>7730.64*6.72%</f>
        <v>519.499008</v>
      </c>
      <c r="BK5" s="50">
        <f>SUM(BH5:BJ5)</f>
        <v>519.499008</v>
      </c>
      <c r="BL5" s="51" t="s">
        <v>114</v>
      </c>
      <c r="BM5" s="51"/>
      <c r="BN5" s="52"/>
      <c r="BO5" s="51"/>
      <c r="BP5" s="52"/>
      <c r="BQ5" s="51"/>
      <c r="BR5" s="53"/>
      <c r="BS5" s="54"/>
      <c r="BT5" s="53"/>
      <c r="BU5" s="53"/>
      <c r="BV5" s="53"/>
      <c r="BW5" s="53"/>
      <c r="BX5" s="36"/>
      <c r="BY5" s="36"/>
      <c r="BZ5" s="36"/>
      <c r="CA5" s="36"/>
      <c r="CB5" s="36"/>
      <c r="CC5" s="36"/>
      <c r="CD5" s="53"/>
      <c r="CE5" s="55"/>
      <c r="CF5" s="55"/>
      <c r="CG5" s="53"/>
      <c r="CH5" s="53"/>
    </row>
    <row r="6" s="1" customFormat="1" ht="27" customHeight="1" spans="1:86">
      <c r="A6" s="14"/>
      <c r="B6" s="15"/>
      <c r="C6" s="16"/>
      <c r="D6" s="14"/>
      <c r="E6" s="17"/>
      <c r="F6" s="18"/>
      <c r="G6" s="19"/>
      <c r="H6" s="14"/>
      <c r="I6" s="14"/>
      <c r="J6" s="14"/>
      <c r="K6" s="14"/>
      <c r="L6" s="14"/>
      <c r="M6" s="20"/>
      <c r="N6" s="21"/>
      <c r="O6" s="20"/>
      <c r="P6" s="20"/>
      <c r="Q6" s="21"/>
      <c r="R6" s="20"/>
      <c r="S6" s="22"/>
      <c r="T6" s="20"/>
      <c r="U6" s="21"/>
      <c r="V6" s="23"/>
      <c r="W6" s="24"/>
      <c r="X6" s="20"/>
      <c r="Y6" s="25"/>
      <c r="Z6" s="20"/>
      <c r="AA6" s="24"/>
      <c r="AB6" s="22"/>
      <c r="AC6" s="20"/>
      <c r="AD6" s="25"/>
      <c r="AE6" s="20"/>
      <c r="AF6" s="20"/>
      <c r="AG6" s="25"/>
      <c r="AH6" s="20"/>
      <c r="AI6" s="22"/>
      <c r="AJ6" s="20"/>
      <c r="AK6" s="21"/>
      <c r="AL6" s="22"/>
      <c r="AM6" s="20"/>
      <c r="AN6" s="25"/>
      <c r="AO6" s="22"/>
      <c r="AP6" s="26"/>
      <c r="AQ6" s="26"/>
      <c r="AR6" s="26"/>
      <c r="AS6" s="20"/>
      <c r="AT6" s="27"/>
      <c r="AU6" s="24"/>
      <c r="AV6" s="20"/>
      <c r="AW6" s="27"/>
      <c r="AX6" s="24"/>
      <c r="AY6" s="26"/>
      <c r="AZ6" s="26"/>
      <c r="BA6" s="29"/>
      <c r="BB6" s="29"/>
      <c r="BC6" s="29"/>
      <c r="BD6" s="29"/>
      <c r="BE6" s="29"/>
      <c r="BF6" s="29"/>
      <c r="BG6" s="29"/>
      <c r="BH6" s="24"/>
      <c r="BI6" s="29"/>
      <c r="BJ6" s="29"/>
      <c r="BK6" s="29"/>
      <c r="BL6" s="56"/>
      <c r="BM6" s="31"/>
      <c r="BN6" s="32"/>
      <c r="BO6" s="31"/>
      <c r="BP6" s="32"/>
      <c r="BQ6" s="30"/>
      <c r="BR6" s="33"/>
      <c r="BS6" s="34"/>
      <c r="BT6" s="33"/>
      <c r="BU6" s="33"/>
      <c r="BV6" s="33"/>
      <c r="BW6" s="33"/>
      <c r="BX6" s="14"/>
      <c r="BY6" s="14"/>
      <c r="BZ6" s="14"/>
      <c r="CA6" s="14"/>
      <c r="CB6" s="14"/>
      <c r="CC6" s="14"/>
      <c r="CD6" s="33"/>
      <c r="CE6" s="35"/>
      <c r="CF6" s="35"/>
      <c r="CG6" s="33"/>
      <c r="CH6" s="33"/>
    </row>
    <row r="7" customHeight="1" spans="1:86">
      <c r="A7" s="57" t="s">
        <v>11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/>
      <c r="N7" s="58"/>
      <c r="O7" s="58">
        <f>SUM(O2:O6)</f>
        <v>2387.2</v>
      </c>
      <c r="P7" s="58"/>
      <c r="Q7" s="58"/>
      <c r="R7" s="58">
        <f>SUM(R2:R6)</f>
        <v>1193.6</v>
      </c>
      <c r="S7" s="58">
        <f>SUM(S2:S6)</f>
        <v>3580.8</v>
      </c>
      <c r="T7" s="58"/>
      <c r="U7" s="58"/>
      <c r="V7" s="58">
        <f>SUM(V2:V6)</f>
        <v>0</v>
      </c>
      <c r="W7" s="58">
        <f>SUM(W2:W6)</f>
        <v>1342.8</v>
      </c>
      <c r="X7" s="58"/>
      <c r="Y7" s="58"/>
      <c r="Z7" s="58">
        <f>SUM(Z2:Z6)</f>
        <v>0</v>
      </c>
      <c r="AA7" s="58">
        <f>SUM(AA2:AA6)</f>
        <v>298.4</v>
      </c>
      <c r="AB7" s="58">
        <f>SUM(AB2:AB6)</f>
        <v>1641.2</v>
      </c>
      <c r="AC7" s="58"/>
      <c r="AD7" s="58"/>
      <c r="AE7" s="58">
        <f>SUM(AE2:AE6)</f>
        <v>74.6</v>
      </c>
      <c r="AF7" s="58">
        <f>SUM(AF2:AF6)</f>
        <v>14920</v>
      </c>
      <c r="AG7" s="58"/>
      <c r="AH7" s="58">
        <f>SUM(AH2:AH6)</f>
        <v>74.6</v>
      </c>
      <c r="AI7" s="58">
        <f>SUM(AI2:AI6)</f>
        <v>149.2</v>
      </c>
      <c r="AJ7" s="58"/>
      <c r="AK7" s="58"/>
      <c r="AL7" s="58">
        <f>SUM(AL2:AL6)</f>
        <v>0</v>
      </c>
      <c r="AM7" s="58"/>
      <c r="AN7" s="58"/>
      <c r="AO7" s="58">
        <f t="shared" ref="AO7:BK7" si="0">SUM(AO2:AO6)</f>
        <v>29.84</v>
      </c>
      <c r="AP7" s="58">
        <f t="shared" si="0"/>
        <v>3834.44</v>
      </c>
      <c r="AQ7" s="58">
        <f t="shared" si="0"/>
        <v>1566.6</v>
      </c>
      <c r="AR7" s="58">
        <f t="shared" si="0"/>
        <v>5401.04</v>
      </c>
      <c r="AS7" s="58">
        <f t="shared" si="0"/>
        <v>14768</v>
      </c>
      <c r="AT7" s="58">
        <f t="shared" si="0"/>
        <v>0.14</v>
      </c>
      <c r="AU7" s="58">
        <f t="shared" si="0"/>
        <v>1034</v>
      </c>
      <c r="AV7" s="58">
        <f t="shared" si="0"/>
        <v>14768</v>
      </c>
      <c r="AW7" s="58">
        <f t="shared" si="0"/>
        <v>0.14</v>
      </c>
      <c r="AX7" s="58">
        <f t="shared" si="0"/>
        <v>1034</v>
      </c>
      <c r="AY7" s="58">
        <f t="shared" si="0"/>
        <v>2068</v>
      </c>
      <c r="AZ7" s="58">
        <f t="shared" si="0"/>
        <v>7469.04</v>
      </c>
      <c r="BA7" s="58">
        <f t="shared" si="0"/>
        <v>201.6</v>
      </c>
      <c r="BB7" s="58">
        <f t="shared" si="0"/>
        <v>0</v>
      </c>
      <c r="BC7" s="58">
        <f t="shared" si="0"/>
        <v>0</v>
      </c>
      <c r="BD7" s="58">
        <f t="shared" si="0"/>
        <v>0</v>
      </c>
      <c r="BE7" s="58">
        <f t="shared" si="0"/>
        <v>0</v>
      </c>
      <c r="BF7" s="58">
        <f t="shared" si="0"/>
        <v>0</v>
      </c>
      <c r="BG7" s="58">
        <f t="shared" si="0"/>
        <v>0</v>
      </c>
      <c r="BH7" s="58">
        <f t="shared" si="0"/>
        <v>7670.64</v>
      </c>
      <c r="BI7" s="58">
        <f t="shared" si="0"/>
        <v>60</v>
      </c>
      <c r="BJ7" s="58">
        <f t="shared" si="0"/>
        <v>1558.497024</v>
      </c>
      <c r="BK7" s="58">
        <f t="shared" si="0"/>
        <v>9289.137024</v>
      </c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 t="e">
        <f>SUM(#REF!)</f>
        <v>#REF!</v>
      </c>
      <c r="BY7" s="58" t="e">
        <f>SUM(#REF!)</f>
        <v>#REF!</v>
      </c>
      <c r="BZ7" s="58" t="e">
        <f>SUM(#REF!)</f>
        <v>#REF!</v>
      </c>
      <c r="CA7" s="58" t="e">
        <f>SUM(#REF!)</f>
        <v>#REF!</v>
      </c>
      <c r="CB7" s="58" t="e">
        <f>SUM(#REF!)</f>
        <v>#REF!</v>
      </c>
      <c r="CC7" s="58" t="e">
        <f>SUM(#REF!)</f>
        <v>#REF!</v>
      </c>
      <c r="CD7" s="58"/>
      <c r="CE7" s="58"/>
      <c r="CF7" s="58"/>
      <c r="CG7" s="58" t="e">
        <f>SUM(#REF!)</f>
        <v>#REF!</v>
      </c>
      <c r="CH7" s="58" t="e">
        <f>SUM(#REF!)</f>
        <v>#REF!</v>
      </c>
    </row>
    <row r="8" customHeight="1" spans="1:86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</row>
    <row r="9" ht="54" customHeight="1" spans="1:86">
      <c r="A9" s="59"/>
      <c r="B9" s="59"/>
      <c r="C9" s="61"/>
      <c r="D9" s="61"/>
      <c r="E9" s="61"/>
      <c r="F9" s="61"/>
      <c r="G9" s="61"/>
      <c r="H9" s="61"/>
      <c r="I9" s="59"/>
      <c r="J9" s="59"/>
      <c r="K9" s="59"/>
      <c r="L9" s="59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</row>
    <row r="10" customHeight="1" spans="1:86">
      <c r="B10" s="33" t="s">
        <v>115</v>
      </c>
      <c r="C10" s="62"/>
      <c r="D10" s="63"/>
      <c r="E10" s="62"/>
      <c r="F10" s="62"/>
      <c r="G10" s="62"/>
      <c r="H10" s="64"/>
      <c r="I10" s="62"/>
      <c r="J10" s="62"/>
      <c r="AR10" s="65"/>
      <c r="AU10" s="65"/>
    </row>
    <row r="11" customHeight="1" spans="1:86">
      <c r="B11" s="33" t="s">
        <v>23</v>
      </c>
      <c r="C11" s="62" t="s">
        <v>116</v>
      </c>
      <c r="D11" s="63" t="s">
        <v>26</v>
      </c>
      <c r="E11" s="62" t="s">
        <v>117</v>
      </c>
      <c r="F11" s="62" t="s">
        <v>4</v>
      </c>
      <c r="G11" s="62" t="s">
        <v>29</v>
      </c>
      <c r="H11" s="62" t="s">
        <v>118</v>
      </c>
      <c r="I11" s="62" t="s">
        <v>119</v>
      </c>
      <c r="J11" s="62" t="s">
        <v>12</v>
      </c>
    </row>
    <row r="12" customHeight="1" spans="1:86">
      <c r="B12" s="33">
        <v>1</v>
      </c>
      <c r="C12" s="16"/>
      <c r="D12" s="14"/>
      <c r="E12" s="17"/>
      <c r="F12" s="18"/>
      <c r="G12" s="19"/>
      <c r="H12" s="14"/>
      <c r="I12" s="14"/>
      <c r="J12" s="62"/>
    </row>
    <row r="13" customHeight="1" spans="1:86">
      <c r="B13" s="33">
        <v>2</v>
      </c>
      <c r="C13" s="16"/>
      <c r="D13" s="14"/>
      <c r="E13" s="17"/>
      <c r="F13" s="18"/>
      <c r="G13" s="19"/>
      <c r="H13" s="14"/>
      <c r="I13" s="14"/>
      <c r="J13" s="62"/>
    </row>
    <row r="14" customHeight="1" spans="1:86">
      <c r="B14" s="33">
        <v>3</v>
      </c>
      <c r="C14" s="16"/>
      <c r="D14" s="14"/>
      <c r="E14" s="17"/>
      <c r="F14" s="18"/>
      <c r="G14" s="19"/>
      <c r="H14" s="14"/>
      <c r="I14" s="14"/>
      <c r="J14" s="62"/>
    </row>
    <row r="15" customHeight="1" spans="1:86">
      <c r="B15" s="33">
        <v>4</v>
      </c>
      <c r="C15" s="16"/>
      <c r="D15" s="14"/>
      <c r="E15" s="17"/>
      <c r="F15" s="18"/>
      <c r="G15" s="19"/>
      <c r="H15" s="14"/>
      <c r="I15" s="14"/>
      <c r="J15" s="62"/>
    </row>
    <row r="16" customHeight="1" spans="1:86">
      <c r="B16" s="33">
        <v>5</v>
      </c>
      <c r="C16" s="16"/>
      <c r="D16" s="14"/>
      <c r="E16" s="17"/>
      <c r="F16" s="18"/>
      <c r="G16" s="18"/>
      <c r="H16" s="18"/>
      <c r="I16" s="14"/>
      <c r="J16" s="62"/>
    </row>
    <row r="17" customHeight="1" spans="2:10">
      <c r="B17" s="33">
        <v>6</v>
      </c>
      <c r="C17" s="16"/>
      <c r="D17" s="14"/>
      <c r="E17" s="17"/>
      <c r="F17" s="18"/>
      <c r="G17" s="18"/>
      <c r="H17" s="18"/>
      <c r="I17" s="14"/>
      <c r="J17" s="62"/>
    </row>
    <row r="18" customHeight="1" spans="2:10">
      <c r="B18" s="33">
        <v>7</v>
      </c>
      <c r="C18" s="16"/>
      <c r="D18" s="14"/>
      <c r="E18" s="17"/>
      <c r="F18" s="18"/>
      <c r="G18" s="18"/>
      <c r="H18" s="18"/>
      <c r="I18" s="14"/>
      <c r="J18" s="62"/>
    </row>
    <row r="19" customHeight="1" spans="2:10">
      <c r="B19" s="33">
        <v>8</v>
      </c>
      <c r="C19" s="16"/>
      <c r="D19" s="14"/>
      <c r="E19" s="17"/>
      <c r="F19" s="18"/>
      <c r="G19" s="18"/>
      <c r="H19" s="18"/>
      <c r="I19" s="14"/>
      <c r="J19" s="62"/>
    </row>
    <row r="20" customHeight="1" spans="2:10">
      <c r="B20" s="33" t="s">
        <v>120</v>
      </c>
      <c r="C20" s="62"/>
      <c r="D20" s="63"/>
      <c r="E20" s="62"/>
      <c r="F20" s="62"/>
      <c r="G20" s="62"/>
      <c r="H20" s="62"/>
      <c r="I20" s="62"/>
      <c r="J20" s="62"/>
    </row>
    <row r="21" customHeight="1" spans="2:10">
      <c r="B21" s="33" t="s">
        <v>23</v>
      </c>
      <c r="C21" s="62" t="s">
        <v>116</v>
      </c>
      <c r="D21" s="63" t="s">
        <v>26</v>
      </c>
      <c r="E21" s="62" t="s">
        <v>117</v>
      </c>
      <c r="F21" s="62" t="s">
        <v>4</v>
      </c>
      <c r="G21" s="62" t="s">
        <v>29</v>
      </c>
      <c r="H21" s="62" t="s">
        <v>121</v>
      </c>
      <c r="I21" s="62" t="s">
        <v>122</v>
      </c>
      <c r="J21" s="62" t="s">
        <v>123</v>
      </c>
    </row>
    <row r="22" customHeight="1" spans="2:10">
      <c r="B22" s="33">
        <v>1</v>
      </c>
      <c r="C22" s="16"/>
      <c r="D22" s="14"/>
      <c r="E22" s="17"/>
      <c r="F22" s="18"/>
      <c r="G22" s="18"/>
      <c r="H22" s="14"/>
      <c r="I22" s="14"/>
      <c r="J22" s="36"/>
    </row>
    <row r="23" customHeight="1" spans="2:10">
      <c r="B23" s="33">
        <v>2</v>
      </c>
      <c r="C23" s="16"/>
      <c r="D23" s="14"/>
      <c r="E23" s="17"/>
      <c r="F23" s="18"/>
      <c r="G23" s="19"/>
      <c r="H23" s="18"/>
      <c r="I23" s="18"/>
      <c r="J23" s="36"/>
    </row>
    <row r="24" customHeight="1" spans="2:10">
      <c r="B24" s="33">
        <v>3</v>
      </c>
      <c r="C24" s="16"/>
      <c r="D24" s="14"/>
      <c r="E24" s="17"/>
      <c r="F24" s="18"/>
      <c r="G24" s="18"/>
      <c r="H24" s="14"/>
      <c r="I24" s="14"/>
      <c r="J24" s="36"/>
    </row>
    <row r="25" customHeight="1" spans="2:10">
      <c r="B25" s="33">
        <v>4</v>
      </c>
      <c r="C25" s="16"/>
      <c r="D25" s="14"/>
      <c r="E25" s="17"/>
      <c r="F25" s="18"/>
      <c r="G25" s="18"/>
      <c r="H25" s="14"/>
      <c r="I25" s="14"/>
      <c r="J25" s="36"/>
    </row>
    <row r="26" customHeight="1" spans="2:10">
      <c r="B26" s="33">
        <v>5</v>
      </c>
      <c r="C26" s="16"/>
      <c r="D26" s="14"/>
      <c r="E26" s="17"/>
      <c r="F26" s="18"/>
      <c r="G26" s="18"/>
      <c r="H26" s="14"/>
      <c r="I26" s="14"/>
      <c r="J26" s="36"/>
    </row>
    <row r="27" customHeight="1" spans="2:10">
      <c r="B27" s="33">
        <v>6</v>
      </c>
      <c r="C27" s="16"/>
      <c r="D27" s="14"/>
      <c r="E27" s="17"/>
      <c r="F27" s="18"/>
      <c r="G27" s="18"/>
      <c r="H27" s="14"/>
      <c r="I27" s="14"/>
      <c r="J27" s="36"/>
    </row>
    <row r="28" customHeight="1" spans="2:10">
      <c r="B28" s="33">
        <v>7</v>
      </c>
      <c r="C28" s="16"/>
      <c r="D28" s="14"/>
      <c r="E28" s="17"/>
      <c r="F28" s="18"/>
      <c r="G28" s="18"/>
      <c r="H28" s="14"/>
      <c r="I28" s="14"/>
      <c r="J28" s="36"/>
    </row>
    <row r="29" customHeight="1" spans="2:10">
      <c r="B29" s="33">
        <v>8</v>
      </c>
      <c r="C29" s="16"/>
      <c r="D29" s="14"/>
      <c r="E29" s="17"/>
      <c r="F29" s="18"/>
      <c r="G29" s="18"/>
      <c r="H29" s="14"/>
      <c r="I29" s="14"/>
      <c r="J29" s="36"/>
    </row>
  </sheetData>
  <protectedRanges>
    <protectedRange sqref="N1 N10:N58965" name="区域3"/>
  </protectedRanges>
  <mergeCells count="1">
    <mergeCell ref="C9:H9"/>
  </mergeCells>
  <dataValidations count="3">
    <dataValidation allowBlank="1" showInputMessage="1" showErrorMessage="1" sqref="G22 H23:I23 G24:G29 G16:H19"/>
    <dataValidation type="list" allowBlank="1" showInputMessage="1" showErrorMessage="1" sqref="B2:B6">
      <formula1>"正常,新增,补缴,退费,补收"</formula1>
    </dataValidation>
    <dataValidation type="list" allowBlank="1" showInputMessage="1" showErrorMessage="1" sqref="H10:H11 H20:H21">
      <formula1>"已参保,派单增员,派单减员,派单补缴,费用调整"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付款通知书</vt:lpstr>
      <vt:lpstr>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薛小妹</dc:creator>
  <cp:lastModifiedBy>-</cp:lastModifiedBy>
  <dcterms:created xsi:type="dcterms:W3CDTF">2015-06-05T18:19:00Z</dcterms:created>
  <cp:lastPrinted>2021-06-09T03:42:00Z</cp:lastPrinted>
  <dcterms:modified xsi:type="dcterms:W3CDTF">2026-03-11T04:04:59Z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KSOReadingLayout">
    <vt:bool>true</vt:bool>
  </property>
  <property fmtid="{D5CDD505-2E9C-101B-9397-08002B2CF9AE}" pid="4" name="ICV">
    <vt:lpwstr>186FEF7DFCA24783B0E9D881D25C95B3_13</vt:lpwstr>
  </property>
</Properties>
</file>